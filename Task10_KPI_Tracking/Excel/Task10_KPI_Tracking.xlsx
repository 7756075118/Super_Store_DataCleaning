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hidePivotFieldList="1" defaultThemeVersion="124226"/>
  <xr:revisionPtr revIDLastSave="195" documentId="11_3E2E5BC2041814D28C170BBF93E5389075EAE4CA" xr6:coauthVersionLast="47" xr6:coauthVersionMax="47" xr10:uidLastSave="{4322F3E3-D6D7-4026-A042-510CF929088D}"/>
  <bookViews>
    <workbookView xWindow="240" yWindow="15" windowWidth="16095" windowHeight="9660" firstSheet="1" activeTab="1" xr2:uid="{00000000-000D-0000-FFFF-FFFF00000000}"/>
  </bookViews>
  <sheets>
    <sheet name="SalesData" sheetId="1" r:id="rId1"/>
    <sheet name="KPI Summary" sheetId="2" r:id="rId2"/>
  </sheets>
  <definedNames>
    <definedName name="SalesData">SalesData!$A$1:$G$41</definedName>
  </definedNames>
  <calcPr calcId="191028"/>
  <pivotCaches>
    <pivotCache cacheId="4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C6" i="2"/>
  <c r="E6" i="2"/>
  <c r="D48" i="1"/>
  <c r="D47" i="1"/>
  <c r="D46" i="1"/>
  <c r="D45" i="1"/>
</calcChain>
</file>

<file path=xl/sharedStrings.xml><?xml version="1.0" encoding="utf-8"?>
<sst xmlns="http://schemas.openxmlformats.org/spreadsheetml/2006/main" count="194" uniqueCount="78">
  <si>
    <t>Date</t>
  </si>
  <si>
    <t>Order ID</t>
  </si>
  <si>
    <t>Product</t>
  </si>
  <si>
    <t>Category</t>
  </si>
  <si>
    <t>Region</t>
  </si>
  <si>
    <t>Quantity</t>
  </si>
  <si>
    <t>Sales</t>
  </si>
  <si>
    <t>ORD001</t>
  </si>
  <si>
    <t>Laptop</t>
  </si>
  <si>
    <t>Technology</t>
  </si>
  <si>
    <t>West</t>
  </si>
  <si>
    <t>ORD002</t>
  </si>
  <si>
    <t>Chair</t>
  </si>
  <si>
    <t>Furniture</t>
  </si>
  <si>
    <t>East</t>
  </si>
  <si>
    <t>ORD003</t>
  </si>
  <si>
    <t>Phone</t>
  </si>
  <si>
    <t>Central</t>
  </si>
  <si>
    <t>ORD004</t>
  </si>
  <si>
    <t>Desk</t>
  </si>
  <si>
    <t>South</t>
  </si>
  <si>
    <t>ORD005</t>
  </si>
  <si>
    <t>Printer</t>
  </si>
  <si>
    <t>Office Supplies</t>
  </si>
  <si>
    <t>ORD006</t>
  </si>
  <si>
    <t>Monitor</t>
  </si>
  <si>
    <t>ORD007</t>
  </si>
  <si>
    <t>Bookshelf</t>
  </si>
  <si>
    <t>ORD008</t>
  </si>
  <si>
    <t>Keyboard</t>
  </si>
  <si>
    <t>ORD009</t>
  </si>
  <si>
    <t>Notebook</t>
  </si>
  <si>
    <t>ORD010</t>
  </si>
  <si>
    <t>Tablet</t>
  </si>
  <si>
    <t>ORD011</t>
  </si>
  <si>
    <t>Office Chair</t>
  </si>
  <si>
    <t>ORD012</t>
  </si>
  <si>
    <t>ORD013</t>
  </si>
  <si>
    <t>ORD014</t>
  </si>
  <si>
    <t>ORD015</t>
  </si>
  <si>
    <t>ORD016</t>
  </si>
  <si>
    <t>File Cabinet</t>
  </si>
  <si>
    <t>ORD017</t>
  </si>
  <si>
    <t>ORD018</t>
  </si>
  <si>
    <t>Table</t>
  </si>
  <si>
    <t>ORD019</t>
  </si>
  <si>
    <t>Pen Set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</si>
  <si>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</si>
  <si>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</si>
  <si>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</si>
  <si>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</si>
  <si>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</si>
  <si>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</si>
  <si>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</si>
  <si>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</si>
  <si>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</si>
  <si>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</si>
  <si>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</si>
  <si>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</si>
  <si>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</si>
  <si>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</si>
  <si>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</si>
  <si>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</si>
  <si>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</si>
  <si>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</si>
  <si>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</si>
  <si>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</si>
  <si>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</si>
  <si>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Total Revenue</t>
  </si>
  <si>
    <t>Total Unit Sold</t>
  </si>
  <si>
    <t>Total Orders</t>
  </si>
  <si>
    <t>Average Order Value</t>
  </si>
  <si>
    <t>Sum of Sales</t>
  </si>
  <si>
    <t>Grand Total</t>
  </si>
  <si>
    <t>Simple KPI Tracking Sheet</t>
  </si>
  <si>
    <t>Total Units Sold</t>
  </si>
  <si>
    <t>Top Product</t>
  </si>
  <si>
    <t>Laptop	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</si>
</sst>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8"/>
      <color rgb="FF000000"/>
      <name val="Calibri"/>
      <scheme val="minor"/>
    </font>
    <font>
      <sz val="18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pivotButton="1"/>
    <xf numFmtId="0" fontId="0" fillId="0" borderId="0" xfId="0" applyNumberFormat="1"/>
    <xf numFmtId="0" fontId="4" fillId="0" borderId="2" xfId="0" applyFont="1" applyBorder="1"/>
    <xf numFmtId="164" fontId="5" fillId="0" borderId="3" xfId="0" applyNumberFormat="1" applyFont="1" applyBorder="1"/>
    <xf numFmtId="0" fontId="4" fillId="0" borderId="4" xfId="0" applyFont="1" applyBorder="1"/>
    <xf numFmtId="0" fontId="0" fillId="0" borderId="5" xfId="0" applyBorder="1"/>
    <xf numFmtId="2" fontId="5" fillId="0" borderId="6" xfId="0" applyNumberFormat="1" applyFont="1" applyBorder="1"/>
    <xf numFmtId="0" fontId="0" fillId="0" borderId="7" xfId="0" applyBorder="1"/>
    <xf numFmtId="0" fontId="0" fillId="0" borderId="0" xfId="0" applyBorder="1"/>
    <xf numFmtId="164" fontId="5" fillId="0" borderId="6" xfId="0" applyNumberFormat="1" applyFont="1" applyBorder="1"/>
    <xf numFmtId="0" fontId="6" fillId="0" borderId="6" xfId="0" applyFont="1" applyBorder="1"/>
  </cellXfs>
  <cellStyles count="1">
    <cellStyle name="Normal" xfId="0" builtinId="0"/>
  </cellStyles>
  <dxfs count="4"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2.68803287037" createdVersion="8" refreshedVersion="8" minRefreshableVersion="3" recordCount="40" xr:uid="{5EFFBC56-B2DC-40CE-8433-DE746297D995}">
  <cacheSource type="worksheet">
    <worksheetSource name="Table1"/>
  </cacheSource>
  <cacheFields count="7">
    <cacheField name="Date" numFmtId="14">
      <sharedItems containsSemiMixedTypes="0" containsNonDate="0" containsDate="1" containsString="0" minDate="2026-09-01T00:00:00" maxDate="2026-10-11T00:00:00"/>
    </cacheField>
    <cacheField name="Order ID" numFmtId="0">
      <sharedItems/>
    </cacheField>
    <cacheField name="Product" numFmtId="0">
      <sharedItems count="14">
        <s v="Laptop"/>
        <s v="Chair"/>
        <s v="Phone"/>
        <s v="Desk"/>
        <s v="Printer"/>
        <s v="Monitor"/>
        <s v="Bookshelf"/>
        <s v="Keyboard"/>
        <s v="Notebook"/>
        <s v="Tablet"/>
        <s v="Office Chair"/>
        <s v="File Cabinet"/>
        <s v="Table"/>
        <s v="Pen Set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25"/>
    </cacheField>
    <cacheField name="Sales" numFmtId="0">
      <sharedItems containsSemiMixedTypes="0" containsString="0" containsNumber="1" containsInteger="1" minValue="4500" maxValue="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6-09-01T00:00:00"/>
    <s v="ORD001"/>
    <x v="0"/>
    <s v="Technology"/>
    <s v="West"/>
    <n v="2"/>
    <n v="80000"/>
  </r>
  <r>
    <d v="2026-09-02T00:00:00"/>
    <s v="ORD002"/>
    <x v="1"/>
    <s v="Furniture"/>
    <s v="East"/>
    <n v="3"/>
    <n v="15000"/>
  </r>
  <r>
    <d v="2026-09-03T00:00:00"/>
    <s v="ORD003"/>
    <x v="2"/>
    <s v="Technology"/>
    <s v="Central"/>
    <n v="5"/>
    <n v="50000"/>
  </r>
  <r>
    <d v="2026-09-04T00:00:00"/>
    <s v="ORD004"/>
    <x v="3"/>
    <s v="Furniture"/>
    <s v="South"/>
    <n v="2"/>
    <n v="20000"/>
  </r>
  <r>
    <d v="2026-09-05T00:00:00"/>
    <s v="ORD005"/>
    <x v="4"/>
    <s v="Office Supplies"/>
    <s v="West"/>
    <n v="1"/>
    <n v="12000"/>
  </r>
  <r>
    <d v="2026-09-06T00:00:00"/>
    <s v="ORD006"/>
    <x v="5"/>
    <s v="Technology"/>
    <s v="East"/>
    <n v="2"/>
    <n v="36000"/>
  </r>
  <r>
    <d v="2026-09-07T00:00:00"/>
    <s v="ORD007"/>
    <x v="6"/>
    <s v="Furniture"/>
    <s v="Central"/>
    <n v="1"/>
    <n v="9000"/>
  </r>
  <r>
    <d v="2026-09-08T00:00:00"/>
    <s v="ORD008"/>
    <x v="7"/>
    <s v="Technology"/>
    <s v="South"/>
    <n v="4"/>
    <n v="8000"/>
  </r>
  <r>
    <d v="2026-09-09T00:00:00"/>
    <s v="ORD009"/>
    <x v="8"/>
    <s v="Office Supplies"/>
    <s v="West"/>
    <n v="10"/>
    <n v="5000"/>
  </r>
  <r>
    <d v="2026-09-10T00:00:00"/>
    <s v="ORD010"/>
    <x v="9"/>
    <s v="Technology"/>
    <s v="East"/>
    <n v="3"/>
    <n v="45000"/>
  </r>
  <r>
    <d v="2026-09-11T00:00:00"/>
    <s v="ORD011"/>
    <x v="10"/>
    <s v="Furniture"/>
    <s v="Central"/>
    <n v="2"/>
    <n v="18000"/>
  </r>
  <r>
    <d v="2026-09-12T00:00:00"/>
    <s v="ORD012"/>
    <x v="4"/>
    <s v="Office Supplies"/>
    <s v="South"/>
    <n v="2"/>
    <n v="24000"/>
  </r>
  <r>
    <d v="2026-09-13T00:00:00"/>
    <s v="ORD013"/>
    <x v="0"/>
    <s v="Technology"/>
    <s v="West"/>
    <n v="1"/>
    <n v="40000"/>
  </r>
  <r>
    <d v="2026-09-14T00:00:00"/>
    <s v="ORD014"/>
    <x v="3"/>
    <s v="Furniture"/>
    <s v="East"/>
    <n v="3"/>
    <n v="30000"/>
  </r>
  <r>
    <d v="2026-09-15T00:00:00"/>
    <s v="ORD015"/>
    <x v="2"/>
    <s v="Technology"/>
    <s v="Central"/>
    <n v="2"/>
    <n v="20000"/>
  </r>
  <r>
    <d v="2026-09-16T00:00:00"/>
    <s v="ORD016"/>
    <x v="11"/>
    <s v="Office Supplies"/>
    <s v="South"/>
    <n v="2"/>
    <n v="14000"/>
  </r>
  <r>
    <d v="2026-09-17T00:00:00"/>
    <s v="ORD017"/>
    <x v="5"/>
    <s v="Technology"/>
    <s v="West"/>
    <n v="3"/>
    <n v="54000"/>
  </r>
  <r>
    <d v="2026-09-18T00:00:00"/>
    <s v="ORD018"/>
    <x v="12"/>
    <s v="Furniture"/>
    <s v="East"/>
    <n v="2"/>
    <n v="22000"/>
  </r>
  <r>
    <d v="2026-09-19T00:00:00"/>
    <s v="ORD019"/>
    <x v="13"/>
    <s v="Office Supplies"/>
    <s v="Central"/>
    <n v="15"/>
    <n v="4500"/>
  </r>
  <r>
    <d v="2026-09-20T00:00:00"/>
    <s v="ORD020"/>
    <x v="9"/>
    <s v="Technology"/>
    <s v="South"/>
    <n v="2"/>
    <n v="30000"/>
  </r>
  <r>
    <d v="2026-09-21T00:00:00"/>
    <s v="ORD021"/>
    <x v="10"/>
    <s v="Furniture"/>
    <s v="West"/>
    <n v="4"/>
    <n v="36000"/>
  </r>
  <r>
    <d v="2026-09-22T00:00:00"/>
    <s v="ORD022"/>
    <x v="8"/>
    <s v="Office Supplies"/>
    <s v="East"/>
    <n v="20"/>
    <n v="10000"/>
  </r>
  <r>
    <d v="2026-09-23T00:00:00"/>
    <s v="ORD023"/>
    <x v="0"/>
    <s v="Technology"/>
    <s v="Central"/>
    <n v="2"/>
    <n v="80000"/>
  </r>
  <r>
    <d v="2026-09-24T00:00:00"/>
    <s v="ORD024"/>
    <x v="6"/>
    <s v="Furniture"/>
    <s v="South"/>
    <n v="2"/>
    <n v="18000"/>
  </r>
  <r>
    <d v="2026-09-25T00:00:00"/>
    <s v="ORD025"/>
    <x v="7"/>
    <s v="Technology"/>
    <s v="West"/>
    <n v="5"/>
    <n v="10000"/>
  </r>
  <r>
    <d v="2026-09-26T00:00:00"/>
    <s v="ORD026"/>
    <x v="4"/>
    <s v="Office Supplies"/>
    <s v="East"/>
    <n v="3"/>
    <n v="36000"/>
  </r>
  <r>
    <d v="2026-09-27T00:00:00"/>
    <s v="ORD027"/>
    <x v="3"/>
    <s v="Furniture"/>
    <s v="Central"/>
    <n v="1"/>
    <n v="10000"/>
  </r>
  <r>
    <d v="2026-09-28T00:00:00"/>
    <s v="ORD028"/>
    <x v="2"/>
    <s v="Technology"/>
    <s v="South"/>
    <n v="4"/>
    <n v="40000"/>
  </r>
  <r>
    <d v="2026-09-29T00:00:00"/>
    <s v="ORD029"/>
    <x v="11"/>
    <s v="Office Supplies"/>
    <s v="West"/>
    <n v="3"/>
    <n v="21000"/>
  </r>
  <r>
    <d v="2026-09-30T00:00:00"/>
    <s v="ORD030"/>
    <x v="5"/>
    <s v="Technology"/>
    <s v="East"/>
    <n v="2"/>
    <n v="36000"/>
  </r>
  <r>
    <d v="2026-10-01T00:00:00"/>
    <s v="ORD031"/>
    <x v="1"/>
    <s v="Furniture"/>
    <s v="Central"/>
    <n v="5"/>
    <n v="25000"/>
  </r>
  <r>
    <d v="2026-10-02T00:00:00"/>
    <s v="ORD032"/>
    <x v="9"/>
    <s v="Technology"/>
    <s v="South"/>
    <n v="3"/>
    <n v="45000"/>
  </r>
  <r>
    <d v="2026-10-03T00:00:00"/>
    <s v="ORD033"/>
    <x v="4"/>
    <s v="Office Supplies"/>
    <s v="West"/>
    <n v="2"/>
    <n v="24000"/>
  </r>
  <r>
    <d v="2026-10-04T00:00:00"/>
    <s v="ORD034"/>
    <x v="0"/>
    <s v="Technology"/>
    <s v="East"/>
    <n v="2"/>
    <n v="80000"/>
  </r>
  <r>
    <d v="2026-10-05T00:00:00"/>
    <s v="ORD035"/>
    <x v="10"/>
    <s v="Furniture"/>
    <s v="Central"/>
    <n v="3"/>
    <n v="27000"/>
  </r>
  <r>
    <d v="2026-10-06T00:00:00"/>
    <s v="ORD036"/>
    <x v="8"/>
    <s v="Office Supplies"/>
    <s v="South"/>
    <n v="25"/>
    <n v="12500"/>
  </r>
  <r>
    <d v="2026-10-07T00:00:00"/>
    <s v="ORD037"/>
    <x v="2"/>
    <s v="Technology"/>
    <s v="West"/>
    <n v="3"/>
    <n v="30000"/>
  </r>
  <r>
    <d v="2026-10-08T00:00:00"/>
    <s v="ORD038"/>
    <x v="3"/>
    <s v="Furniture"/>
    <s v="East"/>
    <n v="2"/>
    <n v="20000"/>
  </r>
  <r>
    <d v="2026-10-09T00:00:00"/>
    <s v="ORD039"/>
    <x v="7"/>
    <s v="Technology"/>
    <s v="Central"/>
    <n v="6"/>
    <n v="12000"/>
  </r>
  <r>
    <d v="2026-10-10T00:00:00"/>
    <s v="ORD040"/>
    <x v="11"/>
    <s v="Office Supplies"/>
    <s v="South"/>
    <n v="2"/>
    <n v="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C247D-E1E3-4F1D-B786-B6703B1AEA5D}" name="PivotTable1" cacheId="4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0:C65" firstHeaderRow="1" firstDataRow="1" firstDataCol="1"/>
  <pivotFields count="7">
    <pivotField compact="0" numFmtId="14" outline="0" showAll="0"/>
    <pivotField compact="0" outline="0" showAll="0"/>
    <pivotField axis="axisRow" compact="0" outline="0" showAll="0" sortType="descending">
      <items count="15">
        <item x="6"/>
        <item x="1"/>
        <item x="3"/>
        <item x="11"/>
        <item x="7"/>
        <item x="0"/>
        <item x="5"/>
        <item x="8"/>
        <item x="10"/>
        <item x="13"/>
        <item x="2"/>
        <item x="4"/>
        <item x="1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5">
    <i>
      <x v="5"/>
    </i>
    <i>
      <x v="10"/>
    </i>
    <i>
      <x v="6"/>
    </i>
    <i>
      <x v="13"/>
    </i>
    <i>
      <x v="11"/>
    </i>
    <i>
      <x v="8"/>
    </i>
    <i>
      <x v="2"/>
    </i>
    <i>
      <x v="3"/>
    </i>
    <i>
      <x v="1"/>
    </i>
    <i>
      <x v="4"/>
    </i>
    <i>
      <x v="7"/>
    </i>
    <i>
      <x/>
    </i>
    <i>
      <x v="12"/>
    </i>
    <i>
      <x v="9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57348-3222-436A-89BE-3703109CA6D0}" name="Table1" displayName="Table1" ref="A1:G42" totalsRowShown="0" headerRowDxfId="3" headerRowBorderDxfId="1" tableBorderDxfId="2">
  <autoFilter ref="A1:G42" xr:uid="{D2057348-3222-436A-89BE-3703109CA6D0}"/>
  <tableColumns count="7">
    <tableColumn id="1" xr3:uid="{340C62DD-2E5B-41C0-85DF-3A15BEB1CBB4}" name="Date" dataDxfId="0"/>
    <tableColumn id="2" xr3:uid="{7168B3D9-E59A-47ED-B0AC-26D26151D6C7}" name="Order ID"/>
    <tableColumn id="3" xr3:uid="{2659E206-FE81-4A1D-8FE5-774282C20BEF}" name="Product"/>
    <tableColumn id="4" xr3:uid="{FECE9E71-4332-40E2-95F9-75729C28F500}" name="Category"/>
    <tableColumn id="5" xr3:uid="{1308E10B-14EA-4197-99FD-21C8B159AD1A}" name="Region"/>
    <tableColumn id="6" xr3:uid="{4CEFB160-024C-4CAE-A2E2-D00662E9E039}" name="Quantity"/>
    <tableColumn id="7" xr3:uid="{C072DFE5-1DDE-4166-8C62-0D75132A14A9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opLeftCell="A39" workbookViewId="0">
      <selection activeCell="D49" sqref="D49"/>
    </sheetView>
  </sheetViews>
  <sheetFormatPr defaultRowHeight="15"/>
  <cols>
    <col min="1" max="1" width="11.42578125" bestFit="1" customWidth="1"/>
    <col min="2" max="2" width="11" bestFit="1" customWidth="1"/>
    <col min="3" max="3" width="11.42578125" bestFit="1" customWidth="1"/>
    <col min="4" max="4" width="14.140625" bestFit="1" customWidth="1"/>
    <col min="5" max="5" width="9.5703125" bestFit="1" customWidth="1"/>
    <col min="6" max="6" width="11.285156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46266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80000</v>
      </c>
    </row>
    <row r="3" spans="1:7">
      <c r="A3" s="1">
        <v>46267</v>
      </c>
      <c r="B3" t="s">
        <v>11</v>
      </c>
      <c r="C3" t="s">
        <v>12</v>
      </c>
      <c r="D3" t="s">
        <v>13</v>
      </c>
      <c r="E3" t="s">
        <v>14</v>
      </c>
      <c r="F3">
        <v>3</v>
      </c>
      <c r="G3">
        <v>15000</v>
      </c>
    </row>
    <row r="4" spans="1:7">
      <c r="A4" s="1">
        <v>46268</v>
      </c>
      <c r="B4" t="s">
        <v>15</v>
      </c>
      <c r="C4" t="s">
        <v>16</v>
      </c>
      <c r="D4" t="s">
        <v>9</v>
      </c>
      <c r="E4" t="s">
        <v>17</v>
      </c>
      <c r="F4">
        <v>5</v>
      </c>
      <c r="G4">
        <v>50000</v>
      </c>
    </row>
    <row r="5" spans="1:7">
      <c r="A5" s="1">
        <v>46269</v>
      </c>
      <c r="B5" t="s">
        <v>18</v>
      </c>
      <c r="C5" t="s">
        <v>19</v>
      </c>
      <c r="D5" t="s">
        <v>13</v>
      </c>
      <c r="E5" t="s">
        <v>20</v>
      </c>
      <c r="F5">
        <v>2</v>
      </c>
      <c r="G5">
        <v>20000</v>
      </c>
    </row>
    <row r="6" spans="1:7">
      <c r="A6" s="1">
        <v>46270</v>
      </c>
      <c r="B6" t="s">
        <v>21</v>
      </c>
      <c r="C6" t="s">
        <v>22</v>
      </c>
      <c r="D6" t="s">
        <v>23</v>
      </c>
      <c r="E6" t="s">
        <v>10</v>
      </c>
      <c r="F6">
        <v>1</v>
      </c>
      <c r="G6">
        <v>12000</v>
      </c>
    </row>
    <row r="7" spans="1:7">
      <c r="A7" s="1">
        <v>46271</v>
      </c>
      <c r="B7" t="s">
        <v>24</v>
      </c>
      <c r="C7" t="s">
        <v>25</v>
      </c>
      <c r="D7" t="s">
        <v>9</v>
      </c>
      <c r="E7" t="s">
        <v>14</v>
      </c>
      <c r="F7">
        <v>2</v>
      </c>
      <c r="G7">
        <v>36000</v>
      </c>
    </row>
    <row r="8" spans="1:7">
      <c r="A8" s="1">
        <v>46272</v>
      </c>
      <c r="B8" t="s">
        <v>26</v>
      </c>
      <c r="C8" t="s">
        <v>27</v>
      </c>
      <c r="D8" t="s">
        <v>13</v>
      </c>
      <c r="E8" t="s">
        <v>17</v>
      </c>
      <c r="F8">
        <v>1</v>
      </c>
      <c r="G8">
        <v>9000</v>
      </c>
    </row>
    <row r="9" spans="1:7">
      <c r="A9" s="1">
        <v>46273</v>
      </c>
      <c r="B9" t="s">
        <v>28</v>
      </c>
      <c r="C9" t="s">
        <v>29</v>
      </c>
      <c r="D9" t="s">
        <v>9</v>
      </c>
      <c r="E9" t="s">
        <v>20</v>
      </c>
      <c r="F9">
        <v>4</v>
      </c>
      <c r="G9">
        <v>8000</v>
      </c>
    </row>
    <row r="10" spans="1:7">
      <c r="A10" s="1">
        <v>46274</v>
      </c>
      <c r="B10" t="s">
        <v>30</v>
      </c>
      <c r="C10" t="s">
        <v>31</v>
      </c>
      <c r="D10" t="s">
        <v>23</v>
      </c>
      <c r="E10" t="s">
        <v>10</v>
      </c>
      <c r="F10">
        <v>10</v>
      </c>
      <c r="G10">
        <v>5000</v>
      </c>
    </row>
    <row r="11" spans="1:7">
      <c r="A11" s="2">
        <v>46275</v>
      </c>
      <c r="B11" t="s">
        <v>32</v>
      </c>
      <c r="C11" t="s">
        <v>33</v>
      </c>
      <c r="D11" t="s">
        <v>9</v>
      </c>
      <c r="E11" t="s">
        <v>14</v>
      </c>
      <c r="F11">
        <v>3</v>
      </c>
      <c r="G11">
        <v>45000</v>
      </c>
    </row>
    <row r="12" spans="1:7">
      <c r="A12" s="1">
        <v>46276</v>
      </c>
      <c r="B12" t="s">
        <v>34</v>
      </c>
      <c r="C12" t="s">
        <v>35</v>
      </c>
      <c r="D12" t="s">
        <v>13</v>
      </c>
      <c r="E12" t="s">
        <v>17</v>
      </c>
      <c r="F12">
        <v>2</v>
      </c>
      <c r="G12">
        <v>18000</v>
      </c>
    </row>
    <row r="13" spans="1:7">
      <c r="A13" s="1">
        <v>46277</v>
      </c>
      <c r="B13" t="s">
        <v>36</v>
      </c>
      <c r="C13" t="s">
        <v>22</v>
      </c>
      <c r="D13" t="s">
        <v>23</v>
      </c>
      <c r="E13" t="s">
        <v>20</v>
      </c>
      <c r="F13">
        <v>2</v>
      </c>
      <c r="G13">
        <v>24000</v>
      </c>
    </row>
    <row r="14" spans="1:7">
      <c r="A14" s="1">
        <v>46278</v>
      </c>
      <c r="B14" t="s">
        <v>37</v>
      </c>
      <c r="C14" t="s">
        <v>8</v>
      </c>
      <c r="D14" t="s">
        <v>9</v>
      </c>
      <c r="E14" t="s">
        <v>10</v>
      </c>
      <c r="F14">
        <v>1</v>
      </c>
      <c r="G14">
        <v>40000</v>
      </c>
    </row>
    <row r="15" spans="1:7">
      <c r="A15" s="1">
        <v>46279</v>
      </c>
      <c r="B15" t="s">
        <v>38</v>
      </c>
      <c r="C15" t="s">
        <v>19</v>
      </c>
      <c r="D15" t="s">
        <v>13</v>
      </c>
      <c r="E15" t="s">
        <v>14</v>
      </c>
      <c r="F15">
        <v>3</v>
      </c>
      <c r="G15">
        <v>30000</v>
      </c>
    </row>
    <row r="16" spans="1:7">
      <c r="A16" s="1">
        <v>46280</v>
      </c>
      <c r="B16" t="s">
        <v>39</v>
      </c>
      <c r="C16" t="s">
        <v>16</v>
      </c>
      <c r="D16" t="s">
        <v>9</v>
      </c>
      <c r="E16" t="s">
        <v>17</v>
      </c>
      <c r="F16">
        <v>2</v>
      </c>
      <c r="G16">
        <v>20000</v>
      </c>
    </row>
    <row r="17" spans="1:7">
      <c r="A17" s="1">
        <v>46281</v>
      </c>
      <c r="B17" t="s">
        <v>40</v>
      </c>
      <c r="C17" t="s">
        <v>41</v>
      </c>
      <c r="D17" t="s">
        <v>23</v>
      </c>
      <c r="E17" t="s">
        <v>20</v>
      </c>
      <c r="F17">
        <v>2</v>
      </c>
      <c r="G17">
        <v>14000</v>
      </c>
    </row>
    <row r="18" spans="1:7">
      <c r="A18" s="1">
        <v>46282</v>
      </c>
      <c r="B18" t="s">
        <v>42</v>
      </c>
      <c r="C18" t="s">
        <v>25</v>
      </c>
      <c r="D18" t="s">
        <v>9</v>
      </c>
      <c r="E18" t="s">
        <v>10</v>
      </c>
      <c r="F18">
        <v>3</v>
      </c>
      <c r="G18">
        <v>54000</v>
      </c>
    </row>
    <row r="19" spans="1:7">
      <c r="A19" s="1">
        <v>46283</v>
      </c>
      <c r="B19" t="s">
        <v>43</v>
      </c>
      <c r="C19" t="s">
        <v>44</v>
      </c>
      <c r="D19" t="s">
        <v>13</v>
      </c>
      <c r="E19" t="s">
        <v>14</v>
      </c>
      <c r="F19">
        <v>2</v>
      </c>
      <c r="G19">
        <v>22000</v>
      </c>
    </row>
    <row r="20" spans="1:7">
      <c r="A20" s="1">
        <v>46284</v>
      </c>
      <c r="B20" t="s">
        <v>45</v>
      </c>
      <c r="C20" t="s">
        <v>46</v>
      </c>
      <c r="D20" t="s">
        <v>23</v>
      </c>
      <c r="E20" t="s">
        <v>17</v>
      </c>
      <c r="F20">
        <v>15</v>
      </c>
      <c r="G20">
        <v>4500</v>
      </c>
    </row>
    <row r="21" spans="1:7">
      <c r="A21" s="1">
        <v>46285</v>
      </c>
      <c r="B21" t="s">
        <v>47</v>
      </c>
      <c r="C21" t="s">
        <v>33</v>
      </c>
      <c r="D21" t="s">
        <v>9</v>
      </c>
      <c r="E21" t="s">
        <v>20</v>
      </c>
      <c r="F21">
        <v>2</v>
      </c>
      <c r="G21">
        <v>30000</v>
      </c>
    </row>
    <row r="22" spans="1:7">
      <c r="A22" s="1">
        <v>46286</v>
      </c>
      <c r="B22" t="s">
        <v>48</v>
      </c>
      <c r="C22" t="s">
        <v>35</v>
      </c>
      <c r="D22" t="s">
        <v>13</v>
      </c>
      <c r="E22" t="s">
        <v>10</v>
      </c>
      <c r="F22">
        <v>4</v>
      </c>
      <c r="G22">
        <v>36000</v>
      </c>
    </row>
    <row r="23" spans="1:7">
      <c r="A23" s="1">
        <v>46287</v>
      </c>
      <c r="B23" t="s">
        <v>49</v>
      </c>
      <c r="C23" t="s">
        <v>31</v>
      </c>
      <c r="D23" t="s">
        <v>23</v>
      </c>
      <c r="E23" t="s">
        <v>14</v>
      </c>
      <c r="F23">
        <v>20</v>
      </c>
      <c r="G23">
        <v>10000</v>
      </c>
    </row>
    <row r="24" spans="1:7">
      <c r="A24" s="1">
        <v>46288</v>
      </c>
      <c r="B24" t="s">
        <v>50</v>
      </c>
      <c r="C24" t="s">
        <v>8</v>
      </c>
      <c r="D24" t="s">
        <v>9</v>
      </c>
      <c r="E24" t="s">
        <v>17</v>
      </c>
      <c r="F24">
        <v>2</v>
      </c>
      <c r="G24">
        <v>80000</v>
      </c>
    </row>
    <row r="25" spans="1:7">
      <c r="A25" s="1">
        <v>46289</v>
      </c>
      <c r="B25" t="s">
        <v>51</v>
      </c>
      <c r="C25" t="s">
        <v>27</v>
      </c>
      <c r="D25" t="s">
        <v>13</v>
      </c>
      <c r="E25" t="s">
        <v>20</v>
      </c>
      <c r="F25">
        <v>2</v>
      </c>
      <c r="G25">
        <v>18000</v>
      </c>
    </row>
    <row r="26" spans="1:7">
      <c r="A26" s="1">
        <v>46290</v>
      </c>
      <c r="B26" t="s">
        <v>52</v>
      </c>
      <c r="C26" t="s">
        <v>29</v>
      </c>
      <c r="D26" t="s">
        <v>9</v>
      </c>
      <c r="E26" t="s">
        <v>10</v>
      </c>
      <c r="F26">
        <v>5</v>
      </c>
      <c r="G26">
        <v>10000</v>
      </c>
    </row>
    <row r="27" spans="1:7">
      <c r="A27" s="1">
        <v>46291</v>
      </c>
      <c r="B27" t="s">
        <v>53</v>
      </c>
      <c r="C27" t="s">
        <v>22</v>
      </c>
      <c r="D27" t="s">
        <v>23</v>
      </c>
      <c r="E27" t="s">
        <v>14</v>
      </c>
      <c r="F27">
        <v>3</v>
      </c>
      <c r="G27">
        <v>36000</v>
      </c>
    </row>
    <row r="28" spans="1:7">
      <c r="A28" s="1">
        <v>46292</v>
      </c>
      <c r="B28" t="s">
        <v>54</v>
      </c>
      <c r="C28" t="s">
        <v>19</v>
      </c>
      <c r="D28" t="s">
        <v>13</v>
      </c>
      <c r="E28" t="s">
        <v>17</v>
      </c>
      <c r="F28">
        <v>1</v>
      </c>
      <c r="G28">
        <v>10000</v>
      </c>
    </row>
    <row r="29" spans="1:7">
      <c r="A29" s="1">
        <v>46293</v>
      </c>
      <c r="B29" t="s">
        <v>55</v>
      </c>
      <c r="C29" t="s">
        <v>16</v>
      </c>
      <c r="D29" t="s">
        <v>9</v>
      </c>
      <c r="E29" t="s">
        <v>20</v>
      </c>
      <c r="F29">
        <v>4</v>
      </c>
      <c r="G29">
        <v>40000</v>
      </c>
    </row>
    <row r="30" spans="1:7">
      <c r="A30" s="1">
        <v>46294</v>
      </c>
      <c r="B30" t="s">
        <v>56</v>
      </c>
      <c r="C30" t="s">
        <v>41</v>
      </c>
      <c r="D30" t="s">
        <v>23</v>
      </c>
      <c r="E30" t="s">
        <v>10</v>
      </c>
      <c r="F30">
        <v>3</v>
      </c>
      <c r="G30">
        <v>21000</v>
      </c>
    </row>
    <row r="31" spans="1:7">
      <c r="A31" s="1">
        <v>46295</v>
      </c>
      <c r="B31" t="s">
        <v>57</v>
      </c>
      <c r="C31" t="s">
        <v>25</v>
      </c>
      <c r="D31" t="s">
        <v>9</v>
      </c>
      <c r="E31" t="s">
        <v>14</v>
      </c>
      <c r="F31">
        <v>2</v>
      </c>
      <c r="G31">
        <v>36000</v>
      </c>
    </row>
    <row r="32" spans="1:7">
      <c r="A32" s="1">
        <v>46296</v>
      </c>
      <c r="B32" t="s">
        <v>58</v>
      </c>
      <c r="C32" t="s">
        <v>12</v>
      </c>
      <c r="D32" t="s">
        <v>13</v>
      </c>
      <c r="E32" t="s">
        <v>17</v>
      </c>
      <c r="F32">
        <v>5</v>
      </c>
      <c r="G32">
        <v>25000</v>
      </c>
    </row>
    <row r="33" spans="1:7">
      <c r="A33" s="1">
        <v>46297</v>
      </c>
      <c r="B33" t="s">
        <v>59</v>
      </c>
      <c r="C33" t="s">
        <v>33</v>
      </c>
      <c r="D33" t="s">
        <v>9</v>
      </c>
      <c r="E33" t="s">
        <v>20</v>
      </c>
      <c r="F33">
        <v>3</v>
      </c>
      <c r="G33">
        <v>45000</v>
      </c>
    </row>
    <row r="34" spans="1:7">
      <c r="A34" s="1">
        <v>46298</v>
      </c>
      <c r="B34" t="s">
        <v>60</v>
      </c>
      <c r="C34" t="s">
        <v>22</v>
      </c>
      <c r="D34" t="s">
        <v>23</v>
      </c>
      <c r="E34" t="s">
        <v>10</v>
      </c>
      <c r="F34">
        <v>2</v>
      </c>
      <c r="G34">
        <v>24000</v>
      </c>
    </row>
    <row r="35" spans="1:7">
      <c r="A35" s="1">
        <v>46299</v>
      </c>
      <c r="B35" t="s">
        <v>61</v>
      </c>
      <c r="C35" t="s">
        <v>8</v>
      </c>
      <c r="D35" t="s">
        <v>9</v>
      </c>
      <c r="E35" t="s">
        <v>14</v>
      </c>
      <c r="F35">
        <v>2</v>
      </c>
      <c r="G35">
        <v>80000</v>
      </c>
    </row>
    <row r="36" spans="1:7">
      <c r="A36" s="1">
        <v>46300</v>
      </c>
      <c r="B36" t="s">
        <v>62</v>
      </c>
      <c r="C36" t="s">
        <v>35</v>
      </c>
      <c r="D36" t="s">
        <v>13</v>
      </c>
      <c r="E36" t="s">
        <v>17</v>
      </c>
      <c r="F36">
        <v>3</v>
      </c>
      <c r="G36">
        <v>27000</v>
      </c>
    </row>
    <row r="37" spans="1:7">
      <c r="A37" s="1">
        <v>46301</v>
      </c>
      <c r="B37" t="s">
        <v>63</v>
      </c>
      <c r="C37" t="s">
        <v>31</v>
      </c>
      <c r="D37" t="s">
        <v>23</v>
      </c>
      <c r="E37" t="s">
        <v>20</v>
      </c>
      <c r="F37">
        <v>25</v>
      </c>
      <c r="G37">
        <v>12500</v>
      </c>
    </row>
    <row r="38" spans="1:7">
      <c r="A38" s="1">
        <v>46302</v>
      </c>
      <c r="B38" t="s">
        <v>64</v>
      </c>
      <c r="C38" t="s">
        <v>16</v>
      </c>
      <c r="D38" t="s">
        <v>9</v>
      </c>
      <c r="E38" t="s">
        <v>10</v>
      </c>
      <c r="F38">
        <v>3</v>
      </c>
      <c r="G38">
        <v>30000</v>
      </c>
    </row>
    <row r="39" spans="1:7">
      <c r="A39" s="1">
        <v>46303</v>
      </c>
      <c r="B39" t="s">
        <v>65</v>
      </c>
      <c r="C39" t="s">
        <v>19</v>
      </c>
      <c r="D39" t="s">
        <v>13</v>
      </c>
      <c r="E39" t="s">
        <v>14</v>
      </c>
      <c r="F39">
        <v>2</v>
      </c>
      <c r="G39">
        <v>20000</v>
      </c>
    </row>
    <row r="40" spans="1:7">
      <c r="A40" s="1">
        <v>46304</v>
      </c>
      <c r="B40" t="s">
        <v>66</v>
      </c>
      <c r="C40" t="s">
        <v>29</v>
      </c>
      <c r="D40" t="s">
        <v>9</v>
      </c>
      <c r="E40" t="s">
        <v>17</v>
      </c>
      <c r="F40">
        <v>6</v>
      </c>
      <c r="G40">
        <v>12000</v>
      </c>
    </row>
    <row r="41" spans="1:7">
      <c r="A41" s="1">
        <v>46305</v>
      </c>
      <c r="B41" t="s">
        <v>67</v>
      </c>
      <c r="C41" t="s">
        <v>41</v>
      </c>
      <c r="D41" t="s">
        <v>23</v>
      </c>
      <c r="E41" t="s">
        <v>20</v>
      </c>
      <c r="F41">
        <v>2</v>
      </c>
      <c r="G41">
        <v>14000</v>
      </c>
    </row>
    <row r="42" spans="1:7">
      <c r="A42" s="1"/>
    </row>
    <row r="45" spans="1:7">
      <c r="B45" t="s">
        <v>68</v>
      </c>
      <c r="D45">
        <f>SUM(Table1[Sales])</f>
        <v>1123000</v>
      </c>
    </row>
    <row r="46" spans="1:7">
      <c r="B46" t="s">
        <v>69</v>
      </c>
      <c r="D46">
        <f>SUM(Table1[Quantity])</f>
        <v>166</v>
      </c>
    </row>
    <row r="47" spans="1:7">
      <c r="B47" t="s">
        <v>70</v>
      </c>
      <c r="D47">
        <f>COUNTA(Table1[Order ID])</f>
        <v>40</v>
      </c>
    </row>
    <row r="48" spans="1:7">
      <c r="B48" t="s">
        <v>71</v>
      </c>
      <c r="D48">
        <f>D45/D47</f>
        <v>28075</v>
      </c>
    </row>
    <row r="50" spans="2:3">
      <c r="B50" s="5" t="s">
        <v>2</v>
      </c>
      <c r="C50" t="s">
        <v>72</v>
      </c>
    </row>
    <row r="51" spans="2:3">
      <c r="B51" t="s">
        <v>8</v>
      </c>
      <c r="C51" s="6">
        <v>280000</v>
      </c>
    </row>
    <row r="52" spans="2:3">
      <c r="B52" t="s">
        <v>16</v>
      </c>
      <c r="C52" s="6">
        <v>140000</v>
      </c>
    </row>
    <row r="53" spans="2:3">
      <c r="B53" t="s">
        <v>25</v>
      </c>
      <c r="C53" s="6">
        <v>126000</v>
      </c>
    </row>
    <row r="54" spans="2:3">
      <c r="B54" t="s">
        <v>33</v>
      </c>
      <c r="C54" s="6">
        <v>120000</v>
      </c>
    </row>
    <row r="55" spans="2:3">
      <c r="B55" t="s">
        <v>22</v>
      </c>
      <c r="C55" s="6">
        <v>96000</v>
      </c>
    </row>
    <row r="56" spans="2:3">
      <c r="B56" t="s">
        <v>35</v>
      </c>
      <c r="C56" s="6">
        <v>81000</v>
      </c>
    </row>
    <row r="57" spans="2:3">
      <c r="B57" t="s">
        <v>19</v>
      </c>
      <c r="C57" s="6">
        <v>80000</v>
      </c>
    </row>
    <row r="58" spans="2:3">
      <c r="B58" t="s">
        <v>41</v>
      </c>
      <c r="C58" s="6">
        <v>49000</v>
      </c>
    </row>
    <row r="59" spans="2:3">
      <c r="B59" t="s">
        <v>12</v>
      </c>
      <c r="C59" s="6">
        <v>40000</v>
      </c>
    </row>
    <row r="60" spans="2:3">
      <c r="B60" t="s">
        <v>29</v>
      </c>
      <c r="C60" s="6">
        <v>30000</v>
      </c>
    </row>
    <row r="61" spans="2:3">
      <c r="B61" t="s">
        <v>31</v>
      </c>
      <c r="C61" s="6">
        <v>27500</v>
      </c>
    </row>
    <row r="62" spans="2:3">
      <c r="B62" t="s">
        <v>27</v>
      </c>
      <c r="C62" s="6">
        <v>27000</v>
      </c>
    </row>
    <row r="63" spans="2:3">
      <c r="B63" t="s">
        <v>44</v>
      </c>
      <c r="C63" s="6">
        <v>22000</v>
      </c>
    </row>
    <row r="64" spans="2:3">
      <c r="B64" t="s">
        <v>46</v>
      </c>
      <c r="C64" s="6">
        <v>4500</v>
      </c>
    </row>
    <row r="65" spans="2:3">
      <c r="B65" t="s">
        <v>73</v>
      </c>
      <c r="C65" s="6">
        <v>1123000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D2ED-AED7-4EF9-A3C6-5C54E6976C1A}">
  <dimension ref="C3:I10"/>
  <sheetViews>
    <sheetView tabSelected="1" workbookViewId="0">
      <selection activeCell="F13" sqref="F13"/>
    </sheetView>
  </sheetViews>
  <sheetFormatPr defaultRowHeight="15"/>
  <cols>
    <col min="3" max="3" width="22.140625" customWidth="1"/>
    <col min="5" max="5" width="18.28515625" customWidth="1"/>
    <col min="6" max="6" width="10.140625" customWidth="1"/>
    <col min="7" max="7" width="5.42578125" customWidth="1"/>
    <col min="8" max="8" width="14.7109375" customWidth="1"/>
    <col min="9" max="9" width="15.42578125" customWidth="1"/>
  </cols>
  <sheetData>
    <row r="3" spans="3:9" ht="23.25">
      <c r="D3" s="4" t="s">
        <v>74</v>
      </c>
    </row>
    <row r="5" spans="3:9" ht="23.25">
      <c r="C5" s="7" t="s">
        <v>68</v>
      </c>
      <c r="E5" s="9" t="s">
        <v>75</v>
      </c>
      <c r="F5" s="10"/>
      <c r="G5" s="13"/>
      <c r="H5" s="9" t="s">
        <v>71</v>
      </c>
      <c r="I5" s="10"/>
    </row>
    <row r="6" spans="3:9" ht="18.75">
      <c r="C6" s="8">
        <f>SUM(Table1[Sales])</f>
        <v>1123000</v>
      </c>
      <c r="E6" s="11">
        <f>SUM(Table1[Quantity])</f>
        <v>166</v>
      </c>
      <c r="F6" s="12"/>
      <c r="G6" s="13"/>
      <c r="H6" s="14">
        <f>SUM(Table1[Sales])/COUNTA(_xlfn.UNIQUE(Table1[Order ID]))</f>
        <v>27390.243902439026</v>
      </c>
      <c r="I6" s="12"/>
    </row>
    <row r="9" spans="3:9" ht="23.25">
      <c r="E9" s="9" t="s">
        <v>76</v>
      </c>
      <c r="F9" s="10"/>
    </row>
    <row r="10" spans="3:9" ht="18.75">
      <c r="E10" s="15" t="s">
        <v>77</v>
      </c>
      <c r="F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shubham.varne@outlook.com</cp:lastModifiedBy>
  <cp:revision/>
  <dcterms:created xsi:type="dcterms:W3CDTF">2026-09-15T04:08:47Z</dcterms:created>
  <dcterms:modified xsi:type="dcterms:W3CDTF">2026-09-17T11:40:42Z</dcterms:modified>
  <cp:category/>
  <cp:contentStatus/>
</cp:coreProperties>
</file>