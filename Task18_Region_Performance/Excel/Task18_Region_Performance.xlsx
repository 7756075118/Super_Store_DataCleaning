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8_Region_Performance\Excel\"/>
    </mc:Choice>
  </mc:AlternateContent>
  <xr:revisionPtr revIDLastSave="0" documentId="13_ncr:1_{E04786C5-9981-4FD3-8E57-5894DC655D44}" xr6:coauthVersionLast="47" xr6:coauthVersionMax="47" xr10:uidLastSave="{00000000-0000-0000-0000-000000000000}"/>
  <bookViews>
    <workbookView xWindow="-108" yWindow="-108" windowWidth="23256" windowHeight="12456" xr2:uid="{8FE672DE-83E6-4FA1-8F4C-C46221412EFB}"/>
  </bookViews>
  <sheets>
    <sheet name="Region_Summary" sheetId="4" r:id="rId1"/>
    <sheet name="Oroginal_Data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7" i="4"/>
  <c r="E8" i="4"/>
  <c r="E5" i="4"/>
</calcChain>
</file>

<file path=xl/sharedStrings.xml><?xml version="1.0" encoding="utf-8"?>
<sst xmlns="http://schemas.openxmlformats.org/spreadsheetml/2006/main" count="360" uniqueCount="147">
  <si>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</si>
  <si>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</si>
  <si>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</si>
  <si>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</si>
  <si>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</si>
  <si>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</si>
  <si>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</si>
  <si>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</si>
  <si>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</si>
  <si>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</si>
  <si>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</si>
  <si>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</si>
  <si>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</si>
  <si>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</si>
  <si>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</si>
  <si>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</si>
  <si>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</si>
  <si>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</si>
  <si>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</si>
  <si>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</si>
  <si>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</si>
  <si>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</si>
  <si>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</si>
  <si>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</si>
  <si>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</si>
  <si>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</si>
  <si>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</si>
  <si>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</si>
  <si>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</si>
  <si>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</si>
  <si>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</si>
  <si>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</si>
  <si>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</si>
  <si>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</si>
  <si>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</si>
  <si>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</si>
  <si>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</si>
  <si>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</si>
  <si>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</si>
  <si>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</si>
  <si>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</si>
  <si>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</si>
  <si>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</si>
  <si>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</si>
  <si>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</si>
  <si>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</si>
  <si>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</si>
  <si>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</si>
  <si>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</si>
  <si>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</si>
  <si>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</si>
  <si>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</si>
  <si>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</si>
  <si>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</si>
  <si>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</si>
  <si>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</si>
  <si>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</si>
  <si>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</si>
  <si>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</si>
  <si>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</si>
  <si>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</si>
  <si>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</si>
  <si>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</si>
  <si>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</si>
  <si>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</si>
  <si>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</si>
  <si>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</si>
  <si>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</si>
  <si>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</si>
  <si>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</si>
  <si>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</si>
  <si>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</si>
  <si>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</si>
  <si>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</si>
  <si>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</si>
  <si>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</si>
  <si>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</si>
  <si>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</si>
  <si>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</si>
  <si>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</si>
  <si>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</si>
  <si>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</si>
  <si>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</si>
  <si>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</si>
  <si>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</si>
  <si>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</si>
  <si>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</si>
  <si>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</si>
  <si>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</si>
  <si>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</si>
  <si>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</si>
  <si>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</si>
  <si>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</si>
  <si>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</si>
  <si>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</si>
  <si>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</si>
  <si>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</si>
  <si>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</si>
  <si>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</si>
  <si>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</si>
  <si>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</si>
  <si>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</si>
  <si>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</si>
  <si>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</si>
  <si>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</si>
  <si>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</si>
  <si>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</si>
  <si>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</si>
  <si>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</si>
  <si>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</si>
  <si>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</si>
  <si>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</si>
  <si>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</si>
  <si>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</si>
  <si>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</si>
  <si>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</si>
  <si>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</si>
  <si>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</si>
  <si>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</si>
  <si>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</si>
  <si>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</si>
  <si>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</si>
  <si>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</si>
  <si>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</si>
  <si>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</si>
  <si>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</si>
  <si>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</si>
  <si>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</si>
  <si>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</si>
  <si>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</si>
  <si>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</si>
  <si>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</si>
  <si>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</si>
  <si>
    <t>Grand Total</t>
  </si>
  <si>
    <t>Sum of Sales</t>
  </si>
  <si>
    <t>Sum of Profit</t>
  </si>
  <si>
    <t>Count of Order ID</t>
  </si>
  <si>
    <t>Sales Rank</t>
  </si>
  <si>
    <t>Region Summary</t>
  </si>
  <si>
    <t>Central region has the highest sales.</t>
  </si>
  <si>
    <t>Central region also has the highest profit.</t>
  </si>
  <si>
    <t>West region has the lowest sales.</t>
  </si>
  <si>
    <t>West region also has the lowest profit.</t>
  </si>
  <si>
    <t>West region has the highest number of orders.</t>
  </si>
  <si>
    <t>South region has the lowest number of orders.</t>
  </si>
  <si>
    <t>Comparing sales, profit, and order count gives better business understanding.</t>
  </si>
  <si>
    <t>Ket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</si>
</sst>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 applyAlignment="1">
      <alignment horizontal="left" vertical="center" indent="1"/>
    </xf>
    <xf numFmtId="0" fontId="6" fillId="0" borderId="0" xfId="0" applyFont="1"/>
    <xf numFmtId="0" fontId="7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9"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[Task18_Region_Performance.xlsx]Region_Summary!PivotTable3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Region_Summary!$B$24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Region_Summary!$A$25:$A$29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Region_Summary!$B$25:$B$29</c:f>
              <c:numCache>
                <c:formatCode>General</c:formatCode>
                <c:ptCount val="4"/>
                <c:pt idx="0">
                  <c:v>7404.7</c:v>
                </c:pt>
                <c:pt idx="1">
                  <c:v>3680.4100000000003</c:v>
                </c:pt>
                <c:pt idx="2">
                  <c:v>1773.83</c:v>
                </c:pt>
                <c:pt idx="3">
                  <c:v>1420.31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4907-B0F1-719EDE462F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2081455"/>
        <c:axId val="182080495"/>
      </c:barChart>
      <c:catAx>
        <c:axId val="182081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495"/>
        <c:crosses val="autoZero"/>
        <c:auto val="1"/>
        <c:lblAlgn val="ctr"/>
        <c:lblOffset val="100"/>
        <c:noMultiLvlLbl val="0"/>
      </c:catAx>
      <c:valAx>
        <c:axId val="18208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[Task18_Region_Performance.xlsx]Region_Summary!PivotTable2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Region_Summary!$B$14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Region_Summary!$A$15:$A$19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Region_Summary!$B$15:$B$19</c:f>
              <c:numCache>
                <c:formatCode>General</c:formatCode>
                <c:ptCount val="4"/>
                <c:pt idx="0">
                  <c:v>47610.880000000005</c:v>
                </c:pt>
                <c:pt idx="1">
                  <c:v>24895.870000000003</c:v>
                </c:pt>
                <c:pt idx="2">
                  <c:v>16052.99</c:v>
                </c:pt>
                <c:pt idx="3">
                  <c:v>12912.41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4-4F4A-847A-BB0FB846D1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2071375"/>
        <c:axId val="182074255"/>
      </c:barChart>
      <c:catAx>
        <c:axId val="182071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74255"/>
        <c:crosses val="autoZero"/>
        <c:auto val="1"/>
        <c:lblAlgn val="ctr"/>
        <c:lblOffset val="100"/>
        <c:noMultiLvlLbl val="0"/>
      </c:catAx>
      <c:valAx>
        <c:axId val="18207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870857</xdr:colOff>
      <xdr:row>23</xdr:row>
      <xdr:rowOff>152400</xdr:rowOff>
    </xdr:from>
    <xdr:to>
      <xdr:col>7</xdr:col>
      <xdr:colOff>446314</xdr:colOff>
      <xdr:row>37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6355ED-EEBC-85FB-782D-30ECC27F4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889363</xdr:colOff>
      <xdr:row>9</xdr:row>
      <xdr:rowOff>129177</xdr:rowOff>
    </xdr:from>
    <xdr:to>
      <xdr:col>7</xdr:col>
      <xdr:colOff>457200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DF151D-D500-43AF-9C16-EF3946251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0.652136921293" createdVersion="8" refreshedVersion="8" minRefreshableVersion="3" recordCount="45" xr:uid="{B0775BA4-A98D-4995-A14F-CC028FF795F2}">
  <cacheSource type="worksheet">
    <worksheetSource name="Table1"/>
  </cacheSource>
  <cacheFields count="12">
    <cacheField name="Order Date" numFmtId="14">
      <sharedItems containsSemiMixedTypes="0" containsNonDate="0" containsDate="1" containsString="0" minDate="2025-01-01T00:00:00" maxDate="2025-02-04T00:00:00"/>
    </cacheField>
    <cacheField name="Order ID" numFmtId="0">
      <sharedItems/>
    </cacheField>
    <cacheField name="Region" numFmtId="0">
      <sharedItems count="4">
        <s v="West"/>
        <s v="South"/>
        <s v="Central"/>
        <s v="East"/>
      </sharedItems>
    </cacheField>
    <cacheField name="State" numFmtId="0">
      <sharedItems/>
    </cacheField>
    <cacheField name="Customer Name" numFmtId="0">
      <sharedItems/>
    </cacheField>
    <cacheField name="Category" numFmtId="0">
      <sharedItems/>
    </cacheField>
    <cacheField name="Sub-Category" numFmtId="0">
      <sharedItems/>
    </cacheField>
    <cacheField name="Product Name" numFmtId="49">
      <sharedItems/>
    </cacheField>
    <cacheField name="Quantity" numFmtId="2">
      <sharedItems containsSemiMixedTypes="0" containsString="0" containsNumber="1" containsInteger="1" minValue="1" maxValue="7"/>
    </cacheField>
    <cacheField name="Unit Price" numFmtId="1">
      <sharedItems containsSemiMixedTypes="0" containsString="0" containsNumber="1" minValue="15.33" maxValue="1772.67"/>
    </cacheField>
    <cacheField name="Sales" numFmtId="2">
      <sharedItems containsSemiMixedTypes="0" containsString="0" containsNumber="1" minValue="40.26" maxValue="12225.29"/>
    </cacheField>
    <cacheField name="Profit" numFmtId="1">
      <sharedItems containsSemiMixedTypes="0" containsString="0" containsNumber="1" minValue="9.98" maxValue="2444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d v="2025-01-01T00:00:00"/>
    <s v="ORD-10082"/>
    <x v="0"/>
    <s v="California"/>
    <s v="Manish Yadav"/>
    <s v="Furniture"/>
    <s v="Tables"/>
    <s v="Conference Table"/>
    <n v="1"/>
    <n v="472.94"/>
    <n v="472.94"/>
    <n v="12.43"/>
  </r>
  <r>
    <d v="2025-01-01T00:00:00"/>
    <s v="ORD-10188"/>
    <x v="0"/>
    <s v="Nevada"/>
    <s v="Karan Agarwal"/>
    <s v="Furniture"/>
    <s v="Furnishings"/>
    <s v="Desk Lamp"/>
    <n v="3"/>
    <n v="673.31"/>
    <n v="2019.93"/>
    <n v="193.79"/>
  </r>
  <r>
    <d v="2025-01-02T00:00:00"/>
    <s v="ORD-10300"/>
    <x v="0"/>
    <s v="California"/>
    <s v="Pooja Gupta"/>
    <s v="Furniture"/>
    <s v="Chairs"/>
    <s v="Folding Chair"/>
    <n v="7"/>
    <n v="107.91"/>
    <n v="755.37"/>
    <n v="111.14"/>
  </r>
  <r>
    <d v="2025-01-04T00:00:00"/>
    <s v="ORD-10049"/>
    <x v="1"/>
    <s v="North Carolina"/>
    <s v="Pooja Gupta"/>
    <s v="Office Supplies"/>
    <s v="Binders"/>
    <s v="Ring Binder"/>
    <n v="4"/>
    <n v="179.87"/>
    <n v="719.48"/>
    <n v="171.27"/>
  </r>
  <r>
    <d v="2025-01-04T00:00:00"/>
    <s v="ORD-10387"/>
    <x v="2"/>
    <s v="Ohio"/>
    <s v="Arjun Rao"/>
    <s v="Office Supplies"/>
    <s v="Storage"/>
    <s v="Storage Box"/>
    <n v="4"/>
    <n v="133.32"/>
    <n v="533.28"/>
    <n v="30.67"/>
  </r>
  <r>
    <d v="2025-01-04T00:00:00"/>
    <s v="ORD-10126"/>
    <x v="3"/>
    <s v="New Jersey"/>
    <s v="Kavya Nair"/>
    <s v="Office Supplies"/>
    <s v="Binders"/>
    <s v="File Binder"/>
    <n v="5"/>
    <n v="15.33"/>
    <n v="76.650000000000006"/>
    <n v="17.850000000000001"/>
  </r>
  <r>
    <d v="2025-01-05T00:00:00"/>
    <s v="ORD-10535"/>
    <x v="1"/>
    <s v="Georgia"/>
    <s v="Siddharth Jain"/>
    <s v="Office Supplies"/>
    <s v="Paper"/>
    <s v="Notebook Paper"/>
    <n v="2"/>
    <n v="20.13"/>
    <n v="40.26"/>
    <n v="9.98"/>
  </r>
  <r>
    <d v="2025-01-05T00:00:00"/>
    <s v="ORD-10194"/>
    <x v="2"/>
    <s v="Ohio"/>
    <s v="Meera Iyer"/>
    <s v="Technology"/>
    <s v="Phones"/>
    <s v="Budget Phone"/>
    <n v="7"/>
    <n v="1704.74"/>
    <n v="11933.18"/>
    <n v="2227.3200000000002"/>
  </r>
  <r>
    <d v="2025-01-05T00:00:00"/>
    <s v="ORD-10216"/>
    <x v="1"/>
    <s v="Georgia"/>
    <s v="Sneha Desai"/>
    <s v="Furniture"/>
    <s v="Furnishings"/>
    <s v="Whiteboard"/>
    <n v="2"/>
    <n v="624.91"/>
    <n v="1249.82"/>
    <n v="116.35"/>
  </r>
  <r>
    <d v="2025-01-06T00:00:00"/>
    <s v="ORD-10588"/>
    <x v="1"/>
    <s v="North Carolina"/>
    <s v="Meera Iyer"/>
    <s v="Technology"/>
    <s v="Laptops"/>
    <s v="Business Laptop"/>
    <n v="5"/>
    <n v="371.55"/>
    <n v="1857.75"/>
    <n v="111.83"/>
  </r>
  <r>
    <d v="2025-01-07T00:00:00"/>
    <s v="ORD-10225"/>
    <x v="1"/>
    <s v="Florida"/>
    <s v="Isha Kulkarni"/>
    <s v="Technology"/>
    <s v="Phones"/>
    <s v="Budget Phone"/>
    <n v="2"/>
    <n v="344.52"/>
    <n v="689.04"/>
    <n v="65.27"/>
  </r>
  <r>
    <d v="2025-01-07T00:00:00"/>
    <s v="ORD-10060"/>
    <x v="3"/>
    <s v="New York"/>
    <s v="Vikram Joshi"/>
    <s v="Technology"/>
    <s v="Phones"/>
    <s v="Business Phone"/>
    <n v="3"/>
    <n v="1294.74"/>
    <n v="3884.22"/>
    <n v="257.41000000000003"/>
  </r>
  <r>
    <d v="2025-01-07T00:00:00"/>
    <s v="ORD-10567"/>
    <x v="3"/>
    <s v="New York"/>
    <s v="Meera Iyer"/>
    <s v="Office Supplies"/>
    <s v="Paper"/>
    <s v="Notebook Paper"/>
    <n v="2"/>
    <n v="86.12"/>
    <n v="172.24"/>
    <n v="26.71"/>
  </r>
  <r>
    <d v="2025-01-07T00:00:00"/>
    <s v="ORD-10162"/>
    <x v="0"/>
    <s v="Oregon"/>
    <s v="Ananya Patel"/>
    <s v="Office Supplies"/>
    <s v="Storage"/>
    <s v="File Cabinet"/>
    <n v="3"/>
    <n v="83.23"/>
    <n v="249.69"/>
    <n v="12.54"/>
  </r>
  <r>
    <d v="2025-01-08T00:00:00"/>
    <s v="ORD-10303"/>
    <x v="0"/>
    <s v="Oregon"/>
    <s v="Simran Kaur"/>
    <s v="Furniture"/>
    <s v="Furnishings"/>
    <s v="Whiteboard"/>
    <n v="4"/>
    <n v="439.41"/>
    <n v="1757.64"/>
    <n v="131"/>
  </r>
  <r>
    <d v="2025-01-10T00:00:00"/>
    <s v="ORD-10104"/>
    <x v="0"/>
    <s v="Oregon"/>
    <s v="Simran Kaur"/>
    <s v="Office Supplies"/>
    <s v="Binders"/>
    <s v="Presentation Binder"/>
    <n v="5"/>
    <n v="42.08"/>
    <n v="210.4"/>
    <n v="46.14"/>
  </r>
  <r>
    <d v="2025-01-11T00:00:00"/>
    <s v="ORD-10525"/>
    <x v="0"/>
    <s v="California"/>
    <s v="Pooja Gupta"/>
    <s v="Office Supplies"/>
    <s v="Storage"/>
    <s v="File Cabinet"/>
    <n v="1"/>
    <n v="77.13"/>
    <n v="77.13"/>
    <n v="17.25"/>
  </r>
  <r>
    <d v="2025-01-12T00:00:00"/>
    <s v="ORD-10285"/>
    <x v="2"/>
    <s v="Ohio"/>
    <s v="Siddharth Jain"/>
    <s v="Technology"/>
    <s v="Phones"/>
    <s v="Budget Phone"/>
    <n v="5"/>
    <n v="1772.67"/>
    <n v="8863.35"/>
    <n v="1627.17"/>
  </r>
  <r>
    <d v="2025-01-12T00:00:00"/>
    <s v="ORD-10219"/>
    <x v="0"/>
    <s v="Nevada"/>
    <s v="Neha Kapoor"/>
    <s v="Office Supplies"/>
    <s v="Art Supplies"/>
    <s v="Drawing Kit"/>
    <n v="6"/>
    <n v="78.05"/>
    <n v="468.3"/>
    <n v="60.81"/>
  </r>
  <r>
    <d v="2025-01-13T00:00:00"/>
    <s v="ORD-10482"/>
    <x v="0"/>
    <s v="Oregon"/>
    <s v="Karan Agarwal"/>
    <s v="Furniture"/>
    <s v="Chairs"/>
    <s v="Office Chair"/>
    <n v="1"/>
    <n v="170.76"/>
    <n v="170.76"/>
    <n v="13.01"/>
  </r>
  <r>
    <d v="2025-01-13T00:00:00"/>
    <s v="ORD-10485"/>
    <x v="1"/>
    <s v="Florida"/>
    <s v="Karan Agarwal"/>
    <s v="Furniture"/>
    <s v="Tables"/>
    <s v="Conference Table"/>
    <n v="5"/>
    <n v="619.98"/>
    <n v="3099.9"/>
    <n v="84.54"/>
  </r>
  <r>
    <d v="2025-01-13T00:00:00"/>
    <s v="ORD-10038"/>
    <x v="1"/>
    <s v="Florida"/>
    <s v="Riya Malhotra"/>
    <s v="Technology"/>
    <s v="Tablets"/>
    <s v="Android Tablet"/>
    <n v="4"/>
    <n v="1197.94"/>
    <n v="4791.76"/>
    <n v="912.32"/>
  </r>
  <r>
    <d v="2025-01-14T00:00:00"/>
    <s v="ORD-10459"/>
    <x v="2"/>
    <s v="Minnesota"/>
    <s v="Pooja Gupta"/>
    <s v="Furniture"/>
    <s v="Tables"/>
    <s v="Computer Table"/>
    <n v="7"/>
    <n v="782.73"/>
    <n v="5479.11"/>
    <n v="920.53"/>
  </r>
  <r>
    <d v="2025-01-14T00:00:00"/>
    <s v="ORD-10185"/>
    <x v="1"/>
    <s v="Georgia"/>
    <s v="Rohan Mehta"/>
    <s v="Furniture"/>
    <s v="Tables"/>
    <s v="Computer Table"/>
    <n v="6"/>
    <n v="600.83000000000004"/>
    <n v="3604.98"/>
    <n v="302.27"/>
  </r>
  <r>
    <d v="2025-01-14T00:00:00"/>
    <s v="ORD-10184"/>
    <x v="3"/>
    <s v="New Jersey"/>
    <s v="Manish Yadav"/>
    <s v="Technology"/>
    <s v="Phones"/>
    <s v="Business Phone"/>
    <n v="5"/>
    <n v="831.92"/>
    <n v="4159.6000000000004"/>
    <n v="289"/>
  </r>
  <r>
    <d v="2025-01-17T00:00:00"/>
    <s v="ORD-10366"/>
    <x v="2"/>
    <s v="Ohio"/>
    <s v="Nikhil Patil"/>
    <s v="Technology"/>
    <s v="Laptops"/>
    <s v="Business Laptop"/>
    <n v="2"/>
    <n v="1537.17"/>
    <n v="3074.34"/>
    <n v="347.49"/>
  </r>
  <r>
    <d v="2025-01-17T00:00:00"/>
    <s v="ORD-10275"/>
    <x v="3"/>
    <s v="New Jersey"/>
    <s v="Riya Malhotra"/>
    <s v="Technology"/>
    <s v="Laptops"/>
    <s v="Business Laptop"/>
    <n v="2"/>
    <n v="365.13"/>
    <n v="730.26"/>
    <n v="174.63"/>
  </r>
  <r>
    <d v="2025-01-17T00:00:00"/>
    <s v="ORD-10406"/>
    <x v="3"/>
    <s v="New Jersey"/>
    <s v="Karan Agarwal"/>
    <s v="Furniture"/>
    <s v="Furnishings"/>
    <s v="Whiteboard"/>
    <n v="1"/>
    <n v="674.58"/>
    <n v="674.58"/>
    <n v="59.12"/>
  </r>
  <r>
    <d v="2025-01-19T00:00:00"/>
    <s v="ORD-10512"/>
    <x v="2"/>
    <s v="Michigan"/>
    <s v="Riya Malhotra"/>
    <s v="Technology"/>
    <s v="Accessories"/>
    <s v="Keyboard"/>
    <n v="3"/>
    <n v="690.03"/>
    <n v="2070.09"/>
    <n v="331.49"/>
  </r>
  <r>
    <d v="2025-01-20T00:00:00"/>
    <s v="ORD-10258"/>
    <x v="0"/>
    <s v="Oregon"/>
    <s v="Simran Kaur"/>
    <s v="Office Supplies"/>
    <s v="Paper"/>
    <s v="Notebook Paper"/>
    <n v="3"/>
    <n v="28.81"/>
    <n v="86.43"/>
    <n v="14.35"/>
  </r>
  <r>
    <d v="2025-01-22T00:00:00"/>
    <s v="ORD-10161"/>
    <x v="3"/>
    <s v="Pennsylvania"/>
    <s v="Rohan Mehta"/>
    <s v="Technology"/>
    <s v="Laptops"/>
    <s v="Gaming Laptop"/>
    <n v="7"/>
    <n v="1746.47"/>
    <n v="12225.29"/>
    <n v="2444.21"/>
  </r>
  <r>
    <d v="2025-01-22T00:00:00"/>
    <s v="ORD-10547"/>
    <x v="3"/>
    <s v="Massachusetts"/>
    <s v="Sneha Desai"/>
    <s v="Office Supplies"/>
    <s v="Art Supplies"/>
    <s v="Markers"/>
    <n v="1"/>
    <n v="252.88"/>
    <n v="252.88"/>
    <n v="43.72"/>
  </r>
  <r>
    <d v="2025-01-23T00:00:00"/>
    <s v="ORD-10341"/>
    <x v="0"/>
    <s v="Washington"/>
    <s v="Rohan Mehta"/>
    <s v="Technology"/>
    <s v="Tablets"/>
    <s v="Windows Tablet"/>
    <n v="7"/>
    <n v="193.54"/>
    <n v="1354.78"/>
    <n v="162.25"/>
  </r>
  <r>
    <d v="2025-01-25T00:00:00"/>
    <s v="ORD-10228"/>
    <x v="2"/>
    <s v="Minnesota"/>
    <s v="Sneha Desai"/>
    <s v="Technology"/>
    <s v="Tablets"/>
    <s v="Android Tablet"/>
    <n v="7"/>
    <n v="950.56"/>
    <n v="6653.92"/>
    <n v="917.59"/>
  </r>
  <r>
    <d v="2025-01-25T00:00:00"/>
    <s v="ORD-10578"/>
    <x v="2"/>
    <s v="Illinois"/>
    <s v="Nikhil Patil"/>
    <s v="Technology"/>
    <s v="Accessories"/>
    <s v="Headset"/>
    <n v="6"/>
    <n v="363.16"/>
    <n v="2178.96"/>
    <n v="289.86"/>
  </r>
  <r>
    <d v="2025-01-25T00:00:00"/>
    <s v="ORD-10436"/>
    <x v="3"/>
    <s v="Pennsylvania"/>
    <s v="Nikhil Patil"/>
    <s v="Office Supplies"/>
    <s v="Art Supplies"/>
    <s v="Markers"/>
    <n v="5"/>
    <n v="248.2"/>
    <n v="1241"/>
    <n v="271.36"/>
  </r>
  <r>
    <d v="2025-01-26T00:00:00"/>
    <s v="ORD-10093"/>
    <x v="2"/>
    <s v="Illinois"/>
    <s v="Simran Kaur"/>
    <s v="Office Supplies"/>
    <s v="Binders"/>
    <s v="Presentation Binder"/>
    <n v="6"/>
    <n v="216.18"/>
    <n v="1297.08"/>
    <n v="116.61"/>
  </r>
  <r>
    <d v="2025-01-26T00:00:00"/>
    <s v="ORD-10209"/>
    <x v="0"/>
    <s v="Oregon"/>
    <s v="Vikram Joshi"/>
    <s v="Furniture"/>
    <s v="Tables"/>
    <s v="Office Table"/>
    <n v="5"/>
    <n v="819.07"/>
    <n v="4095.35"/>
    <n v="446.65"/>
  </r>
  <r>
    <d v="2025-01-27T00:00:00"/>
    <s v="ORD-10532"/>
    <x v="2"/>
    <s v="Minnesota"/>
    <s v="Vikram Joshi"/>
    <s v="Furniture"/>
    <s v="Chairs"/>
    <s v="Executive Chair"/>
    <n v="7"/>
    <n v="350.52"/>
    <n v="2453.64"/>
    <n v="315.91000000000003"/>
  </r>
  <r>
    <d v="2025-01-28T00:00:00"/>
    <s v="ORD-10592"/>
    <x v="2"/>
    <s v="Minnesota"/>
    <s v="Neha Kapoor"/>
    <s v="Office Supplies"/>
    <s v="Paper"/>
    <s v="Copy Paper"/>
    <n v="2"/>
    <n v="268.14"/>
    <n v="536.28"/>
    <n v="96.77"/>
  </r>
  <r>
    <d v="2025-01-29T00:00:00"/>
    <s v="ORD-10238"/>
    <x v="0"/>
    <s v="Washington"/>
    <s v="Neha Kapoor"/>
    <s v="Office Supplies"/>
    <s v="Art Supplies"/>
    <s v="Markers"/>
    <n v="4"/>
    <n v="194.79"/>
    <n v="779.16"/>
    <n v="141.71"/>
  </r>
  <r>
    <d v="2025-01-29T00:00:00"/>
    <s v="ORD-10444"/>
    <x v="2"/>
    <s v="Michigan"/>
    <s v="Rohan Mehta"/>
    <s v="Office Supplies"/>
    <s v="Storage"/>
    <s v="Drawer Unit"/>
    <n v="5"/>
    <n v="56.02"/>
    <n v="280.10000000000002"/>
    <n v="28.47"/>
  </r>
  <r>
    <d v="2025-01-31T00:00:00"/>
    <s v="ORD-10472"/>
    <x v="2"/>
    <s v="Michigan"/>
    <s v="Rohan Mehta"/>
    <s v="Furniture"/>
    <s v="Furnishings"/>
    <s v="Whiteboard"/>
    <n v="5"/>
    <n v="451.51"/>
    <n v="2257.5500000000002"/>
    <n v="154.82"/>
  </r>
  <r>
    <d v="2025-02-03T00:00:00"/>
    <s v="ORD-10290"/>
    <x v="0"/>
    <s v="Oregon"/>
    <s v="Pooja Gupta"/>
    <s v="Furniture"/>
    <s v="Tables"/>
    <s v="Computer Table"/>
    <n v="1"/>
    <n v="414.53"/>
    <n v="414.53"/>
    <n v="57.24"/>
  </r>
  <r>
    <d v="2025-02-03T00:00:00"/>
    <s v="ORD-10079"/>
    <x v="3"/>
    <s v="New York"/>
    <s v="Riya Malhotra"/>
    <s v="Technology"/>
    <s v="Laptops"/>
    <s v="Ultrabook"/>
    <n v="3"/>
    <n v="493.05"/>
    <n v="1479.15"/>
    <n v="96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5FADE-0790-466F-AB79-7B7B3134D33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24:B29" firstHeaderRow="1" firstDataRow="1" firstDataCol="1"/>
  <pivotFields count="12">
    <pivotField numFmtId="14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" showAll="0"/>
    <pivotField numFmtId="2" showAll="0"/>
    <pivotField dataField="1"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80CBB-1DF2-45FE-88F3-E383A4392C8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A14:B19" firstHeaderRow="1" firstDataRow="1" firstDataCol="1"/>
  <pivotFields count="12">
    <pivotField numFmtId="14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" showAll="0"/>
    <pivotField dataField="1" numFmtId="2" showAll="0"/>
    <pivotField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B77A5-7F7B-42BB-A3FB-CAE367A9430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">
  <location ref="A4:D9" firstHeaderRow="0" firstDataRow="1" firstDataCol="1"/>
  <pivotFields count="12">
    <pivotField numFmtId="14"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" showAll="0"/>
    <pivotField dataField="1" numFmtId="2" showAll="0"/>
    <pivotField dataField="1"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0" baseField="0" baseItem="0"/>
    <dataField name="Count of Order ID" fld="1" subtotal="count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1ABF0-2666-4131-993C-669C5E689310}" name="Table1" displayName="Table1" ref="A1:L46" totalsRowShown="0" headerRowDxfId="8" headerRowBorderDxfId="7" tableBorderDxfId="6">
  <autoFilter ref="A1:L46" xr:uid="{8801ABF0-2666-4131-993C-669C5E689310}"/>
  <tableColumns count="12">
    <tableColumn id="1" xr3:uid="{21368DDB-8DBE-42D5-BE8D-9D7E394FD98C}" name="Order Date" dataDxfId="5"/>
    <tableColumn id="2" xr3:uid="{73E21388-D2F5-4A83-9B30-037167FA179D}" name="Order ID"/>
    <tableColumn id="3" xr3:uid="{91EB2DDA-30F6-4963-A4F7-BAAC802FE967}" name="Region"/>
    <tableColumn id="4" xr3:uid="{9DE568D0-D204-4D6C-BCCC-9C2F3FEEFAB9}" name="State"/>
    <tableColumn id="5" xr3:uid="{14A5F306-3F44-4DCA-B9A4-A07A2F0E3F73}" name="Customer Name"/>
    <tableColumn id="6" xr3:uid="{DCE9AF25-6C4D-4CE7-A645-36BDEAF567CE}" name="Category"/>
    <tableColumn id="7" xr3:uid="{B1435D60-5D79-4D51-9B3A-52C67FE0EECA}" name="Sub-Category"/>
    <tableColumn id="8" xr3:uid="{2E5F8D8A-247B-4036-9835-D2C9FDC8BA65}" name="Product Name" dataDxfId="4"/>
    <tableColumn id="9" xr3:uid="{FD193630-E3EF-41E1-B715-1C2BE289A532}" name="Quantity" dataDxfId="3"/>
    <tableColumn id="10" xr3:uid="{8A562E04-9EC9-4A5D-8363-BF5974634BE7}" name="Unit Price" dataDxfId="2"/>
    <tableColumn id="11" xr3:uid="{29145839-E520-4B06-AB8C-F217B1C8F138}" name="Sales" dataDxfId="1"/>
    <tableColumn id="12" xr3:uid="{EC317082-2B92-4F70-8F5C-C3CC66453CEC}" name="Profi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A9FF-2660-4EC9-941F-1E705FBA59E9}">
  <dimension ref="A2:H44"/>
  <sheetViews>
    <sheetView tabSelected="1" zoomScale="70" workbookViewId="0">
      <selection activeCell="K30" sqref="K30"/>
    </sheetView>
  </sheetViews>
  <sheetFormatPr defaultRowHeight="14.4" x14ac:dyDescent="0.3"/>
  <cols>
    <col min="1" max="1" width="12.5546875" bestFit="1" customWidth="1"/>
    <col min="2" max="2" width="21.33203125" customWidth="1"/>
    <col min="3" max="3" width="15.88671875" bestFit="1" customWidth="1"/>
    <col min="4" max="4" width="12.109375" bestFit="1" customWidth="1"/>
    <col min="5" max="5" width="12.109375" customWidth="1"/>
  </cols>
  <sheetData>
    <row r="2" spans="1:5" ht="31.2" x14ac:dyDescent="0.6">
      <c r="B2" s="14" t="s">
        <v>138</v>
      </c>
      <c r="C2" s="15"/>
    </row>
    <row r="4" spans="1:5" x14ac:dyDescent="0.3">
      <c r="A4" s="11" t="s">
        <v>2</v>
      </c>
      <c r="B4" t="s">
        <v>134</v>
      </c>
      <c r="C4" t="s">
        <v>136</v>
      </c>
      <c r="D4" t="s">
        <v>135</v>
      </c>
      <c r="E4" s="16" t="s">
        <v>137</v>
      </c>
    </row>
    <row r="5" spans="1:5" x14ac:dyDescent="0.3">
      <c r="A5" s="12" t="s">
        <v>35</v>
      </c>
      <c r="B5" s="13">
        <v>47610.880000000005</v>
      </c>
      <c r="C5" s="13">
        <v>13</v>
      </c>
      <c r="D5" s="13">
        <v>7404.7</v>
      </c>
      <c r="E5">
        <f>RANK(B5,$B$5:$B$8,0)</f>
        <v>1</v>
      </c>
    </row>
    <row r="6" spans="1:5" x14ac:dyDescent="0.3">
      <c r="A6" s="12" t="s">
        <v>41</v>
      </c>
      <c r="B6" s="13">
        <v>24895.870000000003</v>
      </c>
      <c r="C6" s="13">
        <v>10</v>
      </c>
      <c r="D6" s="13">
        <v>3680.4100000000003</v>
      </c>
      <c r="E6">
        <f t="shared" ref="E6:E8" si="0">RANK(B6,$B$5:$B$8,0)</f>
        <v>2</v>
      </c>
    </row>
    <row r="7" spans="1:5" x14ac:dyDescent="0.3">
      <c r="A7" s="12" t="s">
        <v>29</v>
      </c>
      <c r="B7" s="13">
        <v>16052.99</v>
      </c>
      <c r="C7" s="13">
        <v>8</v>
      </c>
      <c r="D7" s="13">
        <v>1773.83</v>
      </c>
      <c r="E7">
        <f t="shared" si="0"/>
        <v>3</v>
      </c>
    </row>
    <row r="8" spans="1:5" x14ac:dyDescent="0.3">
      <c r="A8" s="12" t="s">
        <v>13</v>
      </c>
      <c r="B8" s="13">
        <v>12912.41</v>
      </c>
      <c r="C8" s="13">
        <v>14</v>
      </c>
      <c r="D8" s="13">
        <v>1420.31</v>
      </c>
      <c r="E8">
        <f t="shared" si="0"/>
        <v>4</v>
      </c>
    </row>
    <row r="9" spans="1:5" x14ac:dyDescent="0.3">
      <c r="A9" s="12" t="s">
        <v>133</v>
      </c>
      <c r="B9" s="13">
        <v>101472.14999999997</v>
      </c>
      <c r="C9" s="13">
        <v>45</v>
      </c>
      <c r="D9" s="13">
        <v>14279.250000000002</v>
      </c>
    </row>
    <row r="14" spans="1:5" x14ac:dyDescent="0.3">
      <c r="A14" s="11" t="s">
        <v>2</v>
      </c>
      <c r="B14" t="s">
        <v>134</v>
      </c>
    </row>
    <row r="15" spans="1:5" x14ac:dyDescent="0.3">
      <c r="A15" s="12" t="s">
        <v>35</v>
      </c>
      <c r="B15" s="13">
        <v>47610.880000000005</v>
      </c>
    </row>
    <row r="16" spans="1:5" x14ac:dyDescent="0.3">
      <c r="A16" s="12" t="s">
        <v>41</v>
      </c>
      <c r="B16" s="13">
        <v>24895.870000000003</v>
      </c>
    </row>
    <row r="17" spans="1:2" x14ac:dyDescent="0.3">
      <c r="A17" s="12" t="s">
        <v>29</v>
      </c>
      <c r="B17" s="13">
        <v>16052.99</v>
      </c>
    </row>
    <row r="18" spans="1:2" x14ac:dyDescent="0.3">
      <c r="A18" s="12" t="s">
        <v>13</v>
      </c>
      <c r="B18" s="13">
        <v>12912.41</v>
      </c>
    </row>
    <row r="19" spans="1:2" x14ac:dyDescent="0.3">
      <c r="A19" s="12" t="s">
        <v>133</v>
      </c>
      <c r="B19" s="13">
        <v>101472.15000000001</v>
      </c>
    </row>
    <row r="24" spans="1:2" x14ac:dyDescent="0.3">
      <c r="A24" s="11" t="s">
        <v>2</v>
      </c>
      <c r="B24" t="s">
        <v>135</v>
      </c>
    </row>
    <row r="25" spans="1:2" x14ac:dyDescent="0.3">
      <c r="A25" s="12" t="s">
        <v>35</v>
      </c>
      <c r="B25" s="13">
        <v>7404.7</v>
      </c>
    </row>
    <row r="26" spans="1:2" x14ac:dyDescent="0.3">
      <c r="A26" s="12" t="s">
        <v>41</v>
      </c>
      <c r="B26" s="13">
        <v>3680.4100000000003</v>
      </c>
    </row>
    <row r="27" spans="1:2" x14ac:dyDescent="0.3">
      <c r="A27" s="12" t="s">
        <v>29</v>
      </c>
      <c r="B27" s="13">
        <v>1773.83</v>
      </c>
    </row>
    <row r="28" spans="1:2" x14ac:dyDescent="0.3">
      <c r="A28" s="12" t="s">
        <v>13</v>
      </c>
      <c r="B28" s="13">
        <v>1420.31</v>
      </c>
    </row>
    <row r="29" spans="1:2" x14ac:dyDescent="0.3">
      <c r="A29" s="12" t="s">
        <v>133</v>
      </c>
      <c r="B29" s="13">
        <v>14279.25</v>
      </c>
    </row>
    <row r="35" spans="1:8" ht="21" x14ac:dyDescent="0.4">
      <c r="A35" s="19" t="s">
        <v>146</v>
      </c>
      <c r="B35" s="20"/>
    </row>
    <row r="38" spans="1:8" ht="15.6" x14ac:dyDescent="0.3">
      <c r="A38" s="17" t="s">
        <v>139</v>
      </c>
      <c r="B38" s="18"/>
      <c r="C38" s="18"/>
      <c r="D38" s="18"/>
      <c r="E38" s="18"/>
      <c r="F38" s="18"/>
      <c r="G38" s="18"/>
      <c r="H38" s="18"/>
    </row>
    <row r="39" spans="1:8" ht="15.6" x14ac:dyDescent="0.3">
      <c r="A39" s="17" t="s">
        <v>140</v>
      </c>
      <c r="B39" s="18"/>
      <c r="C39" s="18"/>
      <c r="D39" s="18"/>
      <c r="E39" s="18"/>
      <c r="F39" s="18"/>
      <c r="G39" s="18"/>
      <c r="H39" s="18"/>
    </row>
    <row r="40" spans="1:8" ht="15.6" x14ac:dyDescent="0.3">
      <c r="A40" s="17" t="s">
        <v>141</v>
      </c>
      <c r="B40" s="18"/>
      <c r="C40" s="18"/>
      <c r="D40" s="18"/>
      <c r="E40" s="18"/>
      <c r="F40" s="18"/>
      <c r="G40" s="18"/>
      <c r="H40" s="18"/>
    </row>
    <row r="41" spans="1:8" ht="15.6" x14ac:dyDescent="0.3">
      <c r="A41" s="17" t="s">
        <v>142</v>
      </c>
      <c r="B41" s="18"/>
      <c r="C41" s="18"/>
      <c r="D41" s="18"/>
      <c r="E41" s="18"/>
      <c r="F41" s="18"/>
      <c r="G41" s="18"/>
      <c r="H41" s="18"/>
    </row>
    <row r="42" spans="1:8" ht="15.6" x14ac:dyDescent="0.3">
      <c r="A42" s="17" t="s">
        <v>143</v>
      </c>
      <c r="B42" s="18"/>
      <c r="C42" s="18"/>
      <c r="D42" s="18"/>
      <c r="E42" s="18"/>
      <c r="F42" s="18"/>
      <c r="G42" s="18"/>
      <c r="H42" s="18"/>
    </row>
    <row r="43" spans="1:8" ht="15.6" x14ac:dyDescent="0.3">
      <c r="A43" s="17" t="s">
        <v>144</v>
      </c>
      <c r="B43" s="18"/>
      <c r="C43" s="18"/>
      <c r="D43" s="18"/>
      <c r="E43" s="18"/>
      <c r="F43" s="18"/>
      <c r="G43" s="18"/>
      <c r="H43" s="18"/>
    </row>
    <row r="44" spans="1:8" ht="15.6" x14ac:dyDescent="0.3">
      <c r="A44" s="17" t="s">
        <v>145</v>
      </c>
      <c r="B44" s="18"/>
      <c r="C44" s="18"/>
      <c r="D44" s="18"/>
      <c r="E44" s="18"/>
      <c r="F44" s="18"/>
      <c r="G44" s="18"/>
      <c r="H44" s="18"/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D1FC-DE60-4E41-972D-3759B3F71E7D}">
  <dimension ref="A1:L46"/>
  <sheetViews>
    <sheetView workbookViewId="0">
      <selection activeCell="O9" sqref="O9"/>
    </sheetView>
  </sheetViews>
  <sheetFormatPr defaultRowHeight="14.4" x14ac:dyDescent="0.3"/>
  <cols>
    <col min="1" max="1" width="12" style="1" customWidth="1"/>
    <col min="2" max="2" width="9.88671875" customWidth="1"/>
    <col min="5" max="5" width="16.44140625" customWidth="1"/>
    <col min="6" max="6" width="10.44140625" customWidth="1"/>
    <col min="7" max="7" width="14.33203125" customWidth="1"/>
    <col min="8" max="8" width="15" style="7" customWidth="1"/>
    <col min="9" max="9" width="10.21875" style="5" customWidth="1"/>
    <col min="10" max="10" width="11" style="9" customWidth="1"/>
    <col min="11" max="11" width="8.88671875" style="5"/>
    <col min="12" max="12" width="8.88671875" style="9"/>
  </cols>
  <sheetData>
    <row r="1" spans="1:1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4" t="s">
        <v>8</v>
      </c>
      <c r="J1" s="8" t="s">
        <v>9</v>
      </c>
      <c r="K1" s="4" t="s">
        <v>10</v>
      </c>
      <c r="L1" s="10" t="s">
        <v>11</v>
      </c>
    </row>
    <row r="2" spans="1:12" x14ac:dyDescent="0.3">
      <c r="A2" s="1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7" t="s">
        <v>18</v>
      </c>
      <c r="I2" s="5">
        <v>1</v>
      </c>
      <c r="J2" s="9">
        <v>472.94</v>
      </c>
      <c r="K2" s="5">
        <v>472.94</v>
      </c>
      <c r="L2" s="9">
        <v>12.43</v>
      </c>
    </row>
    <row r="3" spans="1:12" x14ac:dyDescent="0.3">
      <c r="A3" s="1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s="7" t="s">
        <v>23</v>
      </c>
      <c r="I3" s="5">
        <v>3</v>
      </c>
      <c r="J3" s="9">
        <v>673.31</v>
      </c>
      <c r="K3" s="5">
        <v>2019.93</v>
      </c>
      <c r="L3" s="9">
        <v>193.79</v>
      </c>
    </row>
    <row r="4" spans="1:12" x14ac:dyDescent="0.3">
      <c r="A4" s="1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s="7" t="s">
        <v>27</v>
      </c>
      <c r="I4" s="5">
        <v>7</v>
      </c>
      <c r="J4" s="9">
        <v>107.91</v>
      </c>
      <c r="K4" s="5">
        <v>755.37</v>
      </c>
      <c r="L4" s="9">
        <v>111.14</v>
      </c>
    </row>
    <row r="5" spans="1:12" x14ac:dyDescent="0.3">
      <c r="A5" s="1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s="7" t="s">
        <v>33</v>
      </c>
      <c r="I5" s="5">
        <v>4</v>
      </c>
      <c r="J5" s="9">
        <v>179.87</v>
      </c>
      <c r="K5" s="5">
        <v>719.48</v>
      </c>
      <c r="L5" s="9">
        <v>171.27</v>
      </c>
    </row>
    <row r="6" spans="1:12" x14ac:dyDescent="0.3">
      <c r="A6" s="1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s="7" t="s">
        <v>39</v>
      </c>
      <c r="I6" s="5">
        <v>4</v>
      </c>
      <c r="J6" s="9">
        <v>133.32</v>
      </c>
      <c r="K6" s="5">
        <v>533.28</v>
      </c>
      <c r="L6" s="9">
        <v>30.67</v>
      </c>
    </row>
    <row r="7" spans="1:12" x14ac:dyDescent="0.3">
      <c r="A7" s="1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s="7" t="s">
        <v>44</v>
      </c>
      <c r="I7" s="5">
        <v>5</v>
      </c>
      <c r="J7" s="9">
        <v>15.33</v>
      </c>
      <c r="K7" s="5">
        <v>76.650000000000006</v>
      </c>
      <c r="L7" s="9">
        <v>17.850000000000001</v>
      </c>
    </row>
    <row r="8" spans="1:12" x14ac:dyDescent="0.3">
      <c r="A8" s="1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s="7" t="s">
        <v>49</v>
      </c>
      <c r="I8" s="5">
        <v>2</v>
      </c>
      <c r="J8" s="9">
        <v>20.13</v>
      </c>
      <c r="K8" s="5">
        <v>40.26</v>
      </c>
      <c r="L8" s="9">
        <v>9.98</v>
      </c>
    </row>
    <row r="9" spans="1:12" x14ac:dyDescent="0.3">
      <c r="A9" s="1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s="7" t="s">
        <v>54</v>
      </c>
      <c r="I9" s="5">
        <v>7</v>
      </c>
      <c r="J9" s="9">
        <v>1704.74</v>
      </c>
      <c r="K9" s="5">
        <v>11933.18</v>
      </c>
      <c r="L9" s="9">
        <v>2227.3200000000002</v>
      </c>
    </row>
    <row r="10" spans="1:12" x14ac:dyDescent="0.3">
      <c r="A10" s="1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s="7" t="s">
        <v>57</v>
      </c>
      <c r="I10" s="5">
        <v>2</v>
      </c>
      <c r="J10" s="9">
        <v>624.91</v>
      </c>
      <c r="K10" s="5">
        <v>1249.82</v>
      </c>
      <c r="L10" s="9">
        <v>116.35</v>
      </c>
    </row>
    <row r="11" spans="1:12" x14ac:dyDescent="0.3">
      <c r="A11" s="1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s="7" t="s">
        <v>60</v>
      </c>
      <c r="I11" s="5">
        <v>5</v>
      </c>
      <c r="J11" s="9">
        <v>371.55</v>
      </c>
      <c r="K11" s="5">
        <v>1857.75</v>
      </c>
      <c r="L11" s="9">
        <v>111.83</v>
      </c>
    </row>
    <row r="12" spans="1:12" x14ac:dyDescent="0.3">
      <c r="A12" s="1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s="7" t="s">
        <v>54</v>
      </c>
      <c r="I12" s="5">
        <v>2</v>
      </c>
      <c r="J12" s="9">
        <v>344.52</v>
      </c>
      <c r="K12" s="5">
        <v>689.04</v>
      </c>
      <c r="L12" s="9">
        <v>65.27</v>
      </c>
    </row>
    <row r="13" spans="1:12" x14ac:dyDescent="0.3">
      <c r="A13" s="1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s="7" t="s">
        <v>67</v>
      </c>
      <c r="I13" s="5">
        <v>3</v>
      </c>
      <c r="J13" s="9">
        <v>1294.74</v>
      </c>
      <c r="K13" s="5">
        <v>3884.22</v>
      </c>
      <c r="L13" s="9">
        <v>257.41000000000003</v>
      </c>
    </row>
    <row r="14" spans="1:12" x14ac:dyDescent="0.3">
      <c r="A14" s="1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s="7" t="s">
        <v>49</v>
      </c>
      <c r="I14" s="5">
        <v>2</v>
      </c>
      <c r="J14" s="9">
        <v>86.12</v>
      </c>
      <c r="K14" s="5">
        <v>172.24</v>
      </c>
      <c r="L14" s="9">
        <v>26.71</v>
      </c>
    </row>
    <row r="15" spans="1:12" x14ac:dyDescent="0.3">
      <c r="A15" s="1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s="7" t="s">
        <v>72</v>
      </c>
      <c r="I15" s="5">
        <v>3</v>
      </c>
      <c r="J15" s="9">
        <v>83.23</v>
      </c>
      <c r="K15" s="5">
        <v>249.69</v>
      </c>
      <c r="L15" s="9">
        <v>12.54</v>
      </c>
    </row>
    <row r="16" spans="1:12" x14ac:dyDescent="0.3">
      <c r="A16" s="1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s="7" t="s">
        <v>57</v>
      </c>
      <c r="I16" s="5">
        <v>4</v>
      </c>
      <c r="J16" s="9">
        <v>439.41</v>
      </c>
      <c r="K16" s="5">
        <v>1757.64</v>
      </c>
      <c r="L16" s="9">
        <v>131</v>
      </c>
    </row>
    <row r="17" spans="1:12" x14ac:dyDescent="0.3">
      <c r="A17" s="1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s="7" t="s">
        <v>76</v>
      </c>
      <c r="I17" s="5">
        <v>5</v>
      </c>
      <c r="J17" s="9">
        <v>42.08</v>
      </c>
      <c r="K17" s="5">
        <v>210.4</v>
      </c>
      <c r="L17" s="9">
        <v>46.14</v>
      </c>
    </row>
    <row r="18" spans="1:12" x14ac:dyDescent="0.3">
      <c r="A18" s="1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s="7" t="s">
        <v>72</v>
      </c>
      <c r="I18" s="5">
        <v>1</v>
      </c>
      <c r="J18" s="9">
        <v>77.13</v>
      </c>
      <c r="K18" s="5">
        <v>77.13</v>
      </c>
      <c r="L18" s="9">
        <v>17.25</v>
      </c>
    </row>
    <row r="19" spans="1:12" x14ac:dyDescent="0.3">
      <c r="A19" s="1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s="7" t="s">
        <v>54</v>
      </c>
      <c r="I19" s="5">
        <v>5</v>
      </c>
      <c r="J19" s="9">
        <v>1772.67</v>
      </c>
      <c r="K19" s="5">
        <v>8863.35</v>
      </c>
      <c r="L19" s="9">
        <v>1627.17</v>
      </c>
    </row>
    <row r="20" spans="1:12" x14ac:dyDescent="0.3">
      <c r="A20" s="1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s="7" t="s">
        <v>82</v>
      </c>
      <c r="I20" s="5">
        <v>6</v>
      </c>
      <c r="J20" s="9">
        <v>78.05</v>
      </c>
      <c r="K20" s="5">
        <v>468.3</v>
      </c>
      <c r="L20" s="9">
        <v>60.81</v>
      </c>
    </row>
    <row r="21" spans="1:12" x14ac:dyDescent="0.3">
      <c r="A21" s="1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s="7" t="s">
        <v>84</v>
      </c>
      <c r="I21" s="5">
        <v>1</v>
      </c>
      <c r="J21" s="9">
        <v>170.76</v>
      </c>
      <c r="K21" s="5">
        <v>170.76</v>
      </c>
      <c r="L21" s="9">
        <v>13.01</v>
      </c>
    </row>
    <row r="22" spans="1:12" x14ac:dyDescent="0.3">
      <c r="A22" s="1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s="7" t="s">
        <v>18</v>
      </c>
      <c r="I22" s="5">
        <v>5</v>
      </c>
      <c r="J22" s="9">
        <v>619.98</v>
      </c>
      <c r="K22" s="5">
        <v>3099.9</v>
      </c>
      <c r="L22" s="9">
        <v>84.54</v>
      </c>
    </row>
    <row r="23" spans="1:12" x14ac:dyDescent="0.3">
      <c r="A23" s="1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s="7" t="s">
        <v>89</v>
      </c>
      <c r="I23" s="5">
        <v>4</v>
      </c>
      <c r="J23" s="9">
        <v>1197.94</v>
      </c>
      <c r="K23" s="5">
        <v>4791.76</v>
      </c>
      <c r="L23" s="9">
        <v>912.32</v>
      </c>
    </row>
    <row r="24" spans="1:12" x14ac:dyDescent="0.3">
      <c r="A24" s="1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s="7" t="s">
        <v>92</v>
      </c>
      <c r="I24" s="5">
        <v>7</v>
      </c>
      <c r="J24" s="9">
        <v>782.73</v>
      </c>
      <c r="K24" s="5">
        <v>5479.11</v>
      </c>
      <c r="L24" s="9">
        <v>920.53</v>
      </c>
    </row>
    <row r="25" spans="1:12" x14ac:dyDescent="0.3">
      <c r="A25" s="1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s="7" t="s">
        <v>92</v>
      </c>
      <c r="I25" s="5">
        <v>6</v>
      </c>
      <c r="J25" s="9">
        <v>600.83000000000004</v>
      </c>
      <c r="K25" s="5">
        <v>3604.98</v>
      </c>
      <c r="L25" s="9">
        <v>302.27</v>
      </c>
    </row>
    <row r="26" spans="1:12" x14ac:dyDescent="0.3">
      <c r="A26" s="1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s="7" t="s">
        <v>67</v>
      </c>
      <c r="I26" s="5">
        <v>5</v>
      </c>
      <c r="J26" s="9">
        <v>831.92</v>
      </c>
      <c r="K26" s="5">
        <v>4159.6000000000004</v>
      </c>
      <c r="L26" s="9">
        <v>289</v>
      </c>
    </row>
    <row r="27" spans="1:12" x14ac:dyDescent="0.3">
      <c r="A27" s="1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s="7" t="s">
        <v>60</v>
      </c>
      <c r="I27" s="5">
        <v>2</v>
      </c>
      <c r="J27" s="9">
        <v>1537.17</v>
      </c>
      <c r="K27" s="5">
        <v>3074.34</v>
      </c>
      <c r="L27" s="9">
        <v>347.49</v>
      </c>
    </row>
    <row r="28" spans="1:12" x14ac:dyDescent="0.3">
      <c r="A28" s="1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s="7" t="s">
        <v>60</v>
      </c>
      <c r="I28" s="5">
        <v>2</v>
      </c>
      <c r="J28" s="9">
        <v>365.13</v>
      </c>
      <c r="K28" s="5">
        <v>730.26</v>
      </c>
      <c r="L28" s="9">
        <v>174.63</v>
      </c>
    </row>
    <row r="29" spans="1:12" x14ac:dyDescent="0.3">
      <c r="A29" s="1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s="7" t="s">
        <v>57</v>
      </c>
      <c r="I29" s="5">
        <v>1</v>
      </c>
      <c r="J29" s="9">
        <v>674.58</v>
      </c>
      <c r="K29" s="5">
        <v>674.58</v>
      </c>
      <c r="L29" s="9">
        <v>59.12</v>
      </c>
    </row>
    <row r="30" spans="1:12" x14ac:dyDescent="0.3">
      <c r="A30" s="1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s="7" t="s">
        <v>103</v>
      </c>
      <c r="I30" s="5">
        <v>3</v>
      </c>
      <c r="J30" s="9">
        <v>690.03</v>
      </c>
      <c r="K30" s="5">
        <v>2070.09</v>
      </c>
      <c r="L30" s="9">
        <v>331.49</v>
      </c>
    </row>
    <row r="31" spans="1:12" x14ac:dyDescent="0.3">
      <c r="A31" s="1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s="7" t="s">
        <v>49</v>
      </c>
      <c r="I31" s="5">
        <v>3</v>
      </c>
      <c r="J31" s="9">
        <v>28.81</v>
      </c>
      <c r="K31" s="5">
        <v>86.43</v>
      </c>
      <c r="L31" s="9">
        <v>14.35</v>
      </c>
    </row>
    <row r="32" spans="1:12" x14ac:dyDescent="0.3">
      <c r="A32" s="1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s="7" t="s">
        <v>107</v>
      </c>
      <c r="I32" s="5">
        <v>7</v>
      </c>
      <c r="J32" s="9">
        <v>1746.47</v>
      </c>
      <c r="K32" s="5">
        <v>12225.29</v>
      </c>
      <c r="L32" s="9">
        <v>2444.21</v>
      </c>
    </row>
    <row r="33" spans="1:12" x14ac:dyDescent="0.3">
      <c r="A33" s="1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s="7" t="s">
        <v>110</v>
      </c>
      <c r="I33" s="5">
        <v>1</v>
      </c>
      <c r="J33" s="9">
        <v>252.88</v>
      </c>
      <c r="K33" s="5">
        <v>252.88</v>
      </c>
      <c r="L33" s="9">
        <v>43.72</v>
      </c>
    </row>
    <row r="34" spans="1:12" x14ac:dyDescent="0.3">
      <c r="A34" s="1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s="7" t="s">
        <v>113</v>
      </c>
      <c r="I34" s="5">
        <v>7</v>
      </c>
      <c r="J34" s="9">
        <v>193.54</v>
      </c>
      <c r="K34" s="5">
        <v>1354.78</v>
      </c>
      <c r="L34" s="9">
        <v>162.25</v>
      </c>
    </row>
    <row r="35" spans="1:12" x14ac:dyDescent="0.3">
      <c r="A35" s="1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s="7" t="s">
        <v>89</v>
      </c>
      <c r="I35" s="5">
        <v>7</v>
      </c>
      <c r="J35" s="9">
        <v>950.56</v>
      </c>
      <c r="K35" s="5">
        <v>6653.92</v>
      </c>
      <c r="L35" s="9">
        <v>917.59</v>
      </c>
    </row>
    <row r="36" spans="1:12" x14ac:dyDescent="0.3">
      <c r="A36" s="1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s="7" t="s">
        <v>117</v>
      </c>
      <c r="I36" s="5">
        <v>6</v>
      </c>
      <c r="J36" s="9">
        <v>363.16</v>
      </c>
      <c r="K36" s="5">
        <v>2178.96</v>
      </c>
      <c r="L36" s="9">
        <v>289.86</v>
      </c>
    </row>
    <row r="37" spans="1:12" x14ac:dyDescent="0.3">
      <c r="A37" s="1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s="7" t="s">
        <v>110</v>
      </c>
      <c r="I37" s="5">
        <v>5</v>
      </c>
      <c r="J37" s="9">
        <v>248.2</v>
      </c>
      <c r="K37" s="5">
        <v>1241</v>
      </c>
      <c r="L37" s="9">
        <v>271.36</v>
      </c>
    </row>
    <row r="38" spans="1:12" x14ac:dyDescent="0.3">
      <c r="A38" s="1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s="7" t="s">
        <v>76</v>
      </c>
      <c r="I38" s="5">
        <v>6</v>
      </c>
      <c r="J38" s="9">
        <v>216.18</v>
      </c>
      <c r="K38" s="5">
        <v>1297.08</v>
      </c>
      <c r="L38" s="9">
        <v>116.61</v>
      </c>
    </row>
    <row r="39" spans="1:12" x14ac:dyDescent="0.3">
      <c r="A39" s="1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s="7" t="s">
        <v>121</v>
      </c>
      <c r="I39" s="5">
        <v>5</v>
      </c>
      <c r="J39" s="9">
        <v>819.07</v>
      </c>
      <c r="K39" s="5">
        <v>4095.35</v>
      </c>
      <c r="L39" s="9">
        <v>446.65</v>
      </c>
    </row>
    <row r="40" spans="1:12" x14ac:dyDescent="0.3">
      <c r="A40" s="1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s="7" t="s">
        <v>123</v>
      </c>
      <c r="I40" s="5">
        <v>7</v>
      </c>
      <c r="J40" s="9">
        <v>350.52</v>
      </c>
      <c r="K40" s="5">
        <v>2453.64</v>
      </c>
      <c r="L40" s="9">
        <v>315.91000000000003</v>
      </c>
    </row>
    <row r="41" spans="1:12" x14ac:dyDescent="0.3">
      <c r="A41" s="1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s="7" t="s">
        <v>125</v>
      </c>
      <c r="I41" s="5">
        <v>2</v>
      </c>
      <c r="J41" s="9">
        <v>268.14</v>
      </c>
      <c r="K41" s="5">
        <v>536.28</v>
      </c>
      <c r="L41" s="9">
        <v>96.77</v>
      </c>
    </row>
    <row r="42" spans="1:12" x14ac:dyDescent="0.3">
      <c r="A42" s="1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s="7" t="s">
        <v>110</v>
      </c>
      <c r="I42" s="5">
        <v>4</v>
      </c>
      <c r="J42" s="9">
        <v>194.79</v>
      </c>
      <c r="K42" s="5">
        <v>779.16</v>
      </c>
      <c r="L42" s="9">
        <v>141.71</v>
      </c>
    </row>
    <row r="43" spans="1:12" x14ac:dyDescent="0.3">
      <c r="A43" s="1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s="7" t="s">
        <v>128</v>
      </c>
      <c r="I43" s="5">
        <v>5</v>
      </c>
      <c r="J43" s="9">
        <v>56.02</v>
      </c>
      <c r="K43" s="5">
        <v>280.10000000000002</v>
      </c>
      <c r="L43" s="9">
        <v>28.47</v>
      </c>
    </row>
    <row r="44" spans="1:12" x14ac:dyDescent="0.3">
      <c r="A44" s="1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s="7" t="s">
        <v>57</v>
      </c>
      <c r="I44" s="5">
        <v>5</v>
      </c>
      <c r="J44" s="9">
        <v>451.51</v>
      </c>
      <c r="K44" s="5">
        <v>2257.5500000000002</v>
      </c>
      <c r="L44" s="9">
        <v>154.82</v>
      </c>
    </row>
    <row r="45" spans="1:12" x14ac:dyDescent="0.3">
      <c r="A45" s="1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s="7" t="s">
        <v>92</v>
      </c>
      <c r="I45" s="5">
        <v>1</v>
      </c>
      <c r="J45" s="9">
        <v>414.53</v>
      </c>
      <c r="K45" s="5">
        <v>414.53</v>
      </c>
      <c r="L45" s="9">
        <v>57.24</v>
      </c>
    </row>
    <row r="46" spans="1:12" x14ac:dyDescent="0.3">
      <c r="A46" s="1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s="7" t="s">
        <v>132</v>
      </c>
      <c r="I46" s="5">
        <v>3</v>
      </c>
      <c r="J46" s="9">
        <v>493.05</v>
      </c>
      <c r="K46" s="5">
        <v>1479.15</v>
      </c>
      <c r="L46" s="9">
        <v>96.4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Region_Summary</vt:lpstr>
      <vt:lpstr>Oroginal_Data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2026-09-23T05:27:44Z</dcterms:created>
  <dcterms:modified xsi:type="dcterms:W3CDTF">2026-09-25T10:42:27Z</dcterms:modified>
</cp:coreProperties>
</file>