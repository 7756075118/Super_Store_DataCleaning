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Veda Internship\Sakshi\Super_Store_DataCleaning\Task15_Product_Count_Analysis\Excel\"/>
    </mc:Choice>
  </mc:AlternateContent>
  <xr:revisionPtr revIDLastSave="0" documentId="13_ncr:1_{3D35497B-8A12-41C8-88DF-A54C123D604C}" xr6:coauthVersionLast="47" xr6:coauthVersionMax="47" xr10:uidLastSave="{00000000-0000-0000-0000-000000000000}"/>
  <bookViews>
    <workbookView xWindow="11424" yWindow="0" windowWidth="11712" windowHeight="12336" xr2:uid="{088AE8D7-0382-4908-9AFA-C8A21B58E91D}"/>
  </bookViews>
  <sheets>
    <sheet name="Original_Data" sheetId="1" r:id="rId1"/>
    <sheet name="Product_Count_Analysis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9" i="2" l="1"/>
  <c r="A10" i="2"/>
  <c r="G14" i="2" a="1"/>
  <c r="G14" i="2" s="1"/>
  <c r="G13" i="2" a="1"/>
  <c r="G13" i="2" s="1"/>
  <c r="G12" i="2" a="1"/>
  <c r="G12" i="2" s="1"/>
  <c r="C7" i="2"/>
  <c r="C6" i="2"/>
  <c r="C5" i="2"/>
  <c r="I5" i="2" s="1"/>
  <c r="I4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<sst xmlns="http://schemas.openxmlformats.org/spreadsheetml/2006/main" count="256" uniqueCount="117">
  <si>
    <t>Order ID</t>
  </si>
  <si>
    <t>Order Date</t>
  </si>
  <si>
    <t>Customer Name</t>
  </si>
  <si>
    <t>Product Name</t>
  </si>
  <si>
    <t>Category</t>
  </si>
  <si>
    <t>Region</t>
  </si>
  <si>
    <t>Quantity</t>
  </si>
  <si>
    <t>Unit Price</t>
  </si>
  <si>
    <t>Sales</t>
  </si>
  <si>
    <t>ORD001</t>
  </si>
  <si>
    <t>Aarav Sharma</t>
  </si>
  <si>
    <t>Laptop</t>
  </si>
  <si>
    <t>Technology</t>
  </si>
  <si>
    <t>West</t>
  </si>
  <si>
    <t>ORD002</t>
  </si>
  <si>
    <t>Priya Patil</t>
  </si>
  <si>
    <t>Office Chair</t>
  </si>
  <si>
    <t>Furniture</t>
  </si>
  <si>
    <t>ORD003</t>
  </si>
  <si>
    <t>Rahul Joshi</t>
  </si>
  <si>
    <t>Printer</t>
  </si>
  <si>
    <t>Office Supplies</t>
  </si>
  <si>
    <t>South</t>
  </si>
  <si>
    <t>ORD004</t>
  </si>
  <si>
    <t>Sneha Kulkarni</t>
  </si>
  <si>
    <t>Keyboard</t>
  </si>
  <si>
    <t>Central</t>
  </si>
  <si>
    <t>ORD005</t>
  </si>
  <si>
    <t>Vikram Singh</t>
  </si>
  <si>
    <t>Desk</t>
  </si>
  <si>
    <t>East</t>
  </si>
  <si>
    <t>ORD006</t>
  </si>
  <si>
    <t>Neha Verma</t>
  </si>
  <si>
    <t>Mouse</t>
  </si>
  <si>
    <t>ORD007</t>
  </si>
  <si>
    <t>Rohan Mehta</t>
  </si>
  <si>
    <t>Monitor</t>
  </si>
  <si>
    <t>North</t>
  </si>
  <si>
    <t>ORD008</t>
  </si>
  <si>
    <t>Ananya Rao</t>
  </si>
  <si>
    <t>Notebook</t>
  </si>
  <si>
    <t>ORD009</t>
  </si>
  <si>
    <t>Karan Shah</t>
  </si>
  <si>
    <t>Desk Lamp</t>
  </si>
  <si>
    <t>ORD010</t>
  </si>
  <si>
    <t>Isha Deshmukh</t>
  </si>
  <si>
    <t>Pen Set</t>
  </si>
  <si>
    <t>ORD011</t>
  </si>
  <si>
    <t>Aditya Nair</t>
  </si>
  <si>
    <t>ORD012</t>
  </si>
  <si>
    <t>Meera Gupta</t>
  </si>
  <si>
    <t>ORD013</t>
  </si>
  <si>
    <t>Sahil More</t>
  </si>
  <si>
    <t>ORD014</t>
  </si>
  <si>
    <t>Pooja Jadhav</t>
  </si>
  <si>
    <t>ORD015</t>
  </si>
  <si>
    <t>Amit Yadav</t>
  </si>
  <si>
    <t>ORD016</t>
  </si>
  <si>
    <t>Kavya Iyer</t>
  </si>
  <si>
    <t>ORD017</t>
  </si>
  <si>
    <t>Manish Kumar</t>
  </si>
  <si>
    <t>ORD018</t>
  </si>
  <si>
    <t>Riya Sane</t>
  </si>
  <si>
    <t>ORD019</t>
  </si>
  <si>
    <t>Nikhil Pawar</t>
  </si>
  <si>
    <t>ORD020</t>
  </si>
  <si>
    <t>Tanvi Joshi</t>
  </si>
  <si>
    <t>ORD021</t>
  </si>
  <si>
    <t>Dev Malhotra</t>
  </si>
  <si>
    <t>ORD022</t>
  </si>
  <si>
    <t>Simran Kaur</t>
  </si>
  <si>
    <t>ORD023</t>
  </si>
  <si>
    <t>Arjun Bhosale</t>
  </si>
  <si>
    <t>ORD024</t>
  </si>
  <si>
    <t>Maya Kapoor</t>
  </si>
  <si>
    <t>ORD025</t>
  </si>
  <si>
    <t>Yash Thakur</t>
  </si>
  <si>
    <t>ORD026</t>
  </si>
  <si>
    <t>Diya Kulkarni</t>
  </si>
  <si>
    <t>ORD027</t>
  </si>
  <si>
    <t>Omkar Shinde</t>
  </si>
  <si>
    <t>ORD028</t>
  </si>
  <si>
    <t>Nisha Agarwal</t>
  </si>
  <si>
    <t>ORD029</t>
  </si>
  <si>
    <t>Harsh Vora</t>
  </si>
  <si>
    <t>ORD030</t>
  </si>
  <si>
    <t>Aditi Joshi</t>
  </si>
  <si>
    <t>ORD031</t>
  </si>
  <si>
    <t>Suresh Pawar</t>
  </si>
  <si>
    <t>ORD032</t>
  </si>
  <si>
    <t>Komal Jain</t>
  </si>
  <si>
    <t>ORD033</t>
  </si>
  <si>
    <t>Akash Gupta</t>
  </si>
  <si>
    <t>ORD034</t>
  </si>
  <si>
    <t>Shreya Patil</t>
  </si>
  <si>
    <t>ORD035</t>
  </si>
  <si>
    <t>Varun Joshi</t>
  </si>
  <si>
    <t>ORD036</t>
  </si>
  <si>
    <t>Anjali More</t>
  </si>
  <si>
    <t>ORD037</t>
  </si>
  <si>
    <t>Ritesh Shah</t>
  </si>
  <si>
    <t>ORD038</t>
  </si>
  <si>
    <t>Sakshi Rao</t>
  </si>
  <si>
    <t>ORD039</t>
  </si>
  <si>
    <t>Gaurav Mehta</t>
  </si>
  <si>
    <t>ORD040</t>
  </si>
  <si>
    <t>Pallavi Nair</t>
  </si>
  <si>
    <t>Summary Table</t>
  </si>
  <si>
    <t>Product Count</t>
  </si>
  <si>
    <t>Largest Category</t>
  </si>
  <si>
    <t>count</t>
  </si>
  <si>
    <t>Count Unique Products</t>
  </si>
  <si>
    <t>Count Technology products in West region:</t>
  </si>
  <si>
    <t>Grand Total</t>
  </si>
  <si>
    <t>Count of Product Name</t>
  </si>
  <si>
    <t>Category Count Table</t>
  </si>
  <si>
    <t xml:space="preserve">Unique Product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</si>
</sst>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0" xfId="0" applyNumberFormat="1"/>
    <xf numFmtId="0" fontId="2" fillId="0" borderId="0" xfId="0" applyFont="1"/>
    <xf numFmtId="0" fontId="0" fillId="0" borderId="0" xfId="0" applyBorder="1"/>
    <xf numFmtId="0" fontId="0" fillId="0" borderId="12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8" xfId="0" applyFont="1" applyFill="1" applyBorder="1"/>
    <xf numFmtId="0" fontId="0" fillId="2" borderId="9" xfId="0" applyFill="1" applyBorder="1"/>
    <xf numFmtId="0" fontId="1" fillId="2" borderId="10" xfId="0" applyFont="1" applyFill="1" applyBorder="1"/>
    <xf numFmtId="0" fontId="0" fillId="2" borderId="11" xfId="0" applyFill="1" applyBorder="1"/>
    <xf numFmtId="0" fontId="0" fillId="3" borderId="1" xfId="0" applyFill="1" applyBorder="1"/>
    <xf numFmtId="0" fontId="0" fillId="3" borderId="6" xfId="0" applyFill="1" applyBorder="1"/>
    <xf numFmtId="0" fontId="0" fillId="3" borderId="0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7" xfId="0" applyFill="1" applyBorder="1"/>
    <xf numFmtId="0" fontId="0" fillId="3" borderId="4" xfId="0" applyFill="1" applyBorder="1"/>
    <xf numFmtId="0" fontId="0" fillId="3" borderId="5" xfId="0" applyFill="1" applyBorder="1"/>
    <xf numFmtId="0" fontId="1" fillId="4" borderId="16" xfId="0" applyFont="1" applyFill="1" applyBorder="1"/>
    <xf numFmtId="0" fontId="0" fillId="4" borderId="15" xfId="0" applyFill="1" applyBorder="1"/>
    <xf numFmtId="0" fontId="1" fillId="4" borderId="13" xfId="0" applyFont="1" applyFill="1" applyBorder="1"/>
    <xf numFmtId="0" fontId="0" fillId="4" borderId="14" xfId="0" applyFill="1" applyBorder="1"/>
    <xf numFmtId="0" fontId="0" fillId="4" borderId="17" xfId="0" applyFill="1" applyBorder="1"/>
    <xf numFmtId="0" fontId="0" fillId="4" borderId="12" xfId="0" applyFill="1" applyBorder="1"/>
    <xf numFmtId="0" fontId="1" fillId="5" borderId="16" xfId="0" applyFont="1" applyFill="1" applyBorder="1"/>
    <xf numFmtId="0" fontId="0" fillId="5" borderId="17" xfId="0" applyFill="1" applyBorder="1"/>
    <xf numFmtId="0" fontId="0" fillId="5" borderId="15" xfId="0" applyFill="1" applyBorder="1"/>
    <xf numFmtId="0" fontId="0" fillId="5" borderId="13" xfId="0" applyFill="1" applyBorder="1"/>
    <xf numFmtId="0" fontId="0" fillId="5" borderId="12" xfId="0" applyFill="1" applyBorder="1"/>
    <xf numFmtId="0" fontId="0" fillId="5" borderId="14" xfId="0" applyFill="1" applyBorder="1"/>
    <xf numFmtId="0" fontId="3" fillId="0" borderId="0" xfId="0" applyFont="1"/>
    <xf numFmtId="0" fontId="1" fillId="6" borderId="16" xfId="0" applyFont="1" applyFill="1" applyBorder="1"/>
    <xf numFmtId="0" fontId="0" fillId="6" borderId="17" xfId="0" applyFill="1" applyBorder="1"/>
    <xf numFmtId="0" fontId="0" fillId="6" borderId="15" xfId="0" applyFill="1" applyBorder="1"/>
    <xf numFmtId="0" fontId="0" fillId="6" borderId="13" xfId="0" applyFill="1" applyBorder="1"/>
    <xf numFmtId="0" fontId="0" fillId="6" borderId="12" xfId="0" applyFill="1" applyBorder="1"/>
    <xf numFmtId="0" fontId="0" fillId="6" borderId="14" xfId="0" applyFill="1" applyBorder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colors>
    <mruColors>
      <color rgb="FF00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[Task15_Product_Count_Analysis.xlsx]Product_Count_Analysis!PivotTable1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Product Count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Product_Count_Analysis!$B$13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Product_Count_Analysis!$A$14:$A$17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Product_Count_Analysis!$B$14:$B$17</c:f>
              <c:numCache>
                <c:formatCode>General</c:formatCode>
                <c:ptCount val="3"/>
                <c:pt idx="0">
                  <c:v>14</c:v>
                </c:pt>
                <c:pt idx="1">
                  <c:v>14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B6-4428-B47D-ED82639F11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88002160"/>
        <c:axId val="1888001680"/>
      </c:barChart>
      <c:catAx>
        <c:axId val="1888002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001680"/>
        <c:crosses val="autoZero"/>
        <c:auto val="1"/>
        <c:lblAlgn val="ctr"/>
        <c:lblOffset val="100"/>
        <c:noMultiLvlLbl val="0"/>
      </c:catAx>
      <c:valAx>
        <c:axId val="188800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8002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137160</xdr:colOff>
      <xdr:row>14</xdr:row>
      <xdr:rowOff>106680</xdr:rowOff>
    </xdr:from>
    <xdr:to>
      <xdr:col>9</xdr:col>
      <xdr:colOff>548640</xdr:colOff>
      <xdr:row>28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93F4A8-1B2F-33A3-3E1E-EC59256EFB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91440</xdr:colOff>
      <xdr:row>18</xdr:row>
      <xdr:rowOff>7620</xdr:rowOff>
    </xdr:from>
    <xdr:to>
      <xdr:col>2</xdr:col>
      <xdr:colOff>426720</xdr:colOff>
      <xdr:row>27</xdr:row>
      <xdr:rowOff>144780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90BB97C-379B-13E0-2D62-80B86B367717}"/>
            </a:ext>
          </a:extLst>
        </xdr:cNvPr>
        <xdr:cNvSpPr txBox="1"/>
      </xdr:nvSpPr>
      <xdr:spPr>
        <a:xfrm>
          <a:off x="91440" y="3474720"/>
          <a:ext cx="2606040" cy="178308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r>
            <a:rPr lang="en-IN" sz="1400" b="1"/>
            <a:t>Technology category has the highest number of products. Office Supplies and Furniture follow next. The analysis helps identify which category contains more products and supports inventory planning.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7.414535300923" createdVersion="8" refreshedVersion="8" minRefreshableVersion="3" recordCount="45" xr:uid="{87791680-361F-49EE-8BD3-32ECBAE42DD8}">
  <cacheSource type="worksheet">
    <worksheetSource name="Table1"/>
  </cacheSource>
  <cacheFields count="9">
    <cacheField name="Order ID" numFmtId="0">
      <sharedItems/>
    </cacheField>
    <cacheField name="Order Date" numFmtId="14">
      <sharedItems containsSemiMixedTypes="0" containsNonDate="0" containsDate="1" containsString="0" minDate="2026-09-01T00:00:00" maxDate="2026-09-21T00:00:00"/>
    </cacheField>
    <cacheField name="Customer Name" numFmtId="0">
      <sharedItems/>
    </cacheField>
    <cacheField name="Product Name" numFmtId="0">
      <sharedItems/>
    </cacheField>
    <cacheField name="Category" numFmtId="0">
      <sharedItems count="3">
        <s v="Technology"/>
        <s v="Furniture"/>
        <s v="Office Supplies"/>
      </sharedItems>
    </cacheField>
    <cacheField name="Region" numFmtId="0">
      <sharedItems/>
    </cacheField>
    <cacheField name="Quantity" numFmtId="0">
      <sharedItems containsSemiMixedTypes="0" containsString="0" containsNumber="1" containsInteger="1" minValue="1" maxValue="20"/>
    </cacheField>
    <cacheField name="Unit Price" numFmtId="0">
      <sharedItems containsSemiMixedTypes="0" containsString="0" containsNumber="1" containsInteger="1" minValue="90" maxValue="90000"/>
    </cacheField>
    <cacheField name="Sales" numFmtId="0">
      <sharedItems containsSemiMixedTypes="0" containsString="0" containsNumber="1" containsInteger="1" minValue="1200" maxValue="16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5">
  <r>
    <s v="ORD001"/>
    <d v="2026-09-01T00:00:00"/>
    <s v="Aarav Sharma"/>
    <s v="Laptop"/>
    <x v="0"/>
    <s v="West"/>
    <n v="2"/>
    <n v="80000"/>
    <n v="160000"/>
  </r>
  <r>
    <s v="ORD002"/>
    <d v="2026-09-01T00:00:00"/>
    <s v="Priya Patil"/>
    <s v="Office Chair"/>
    <x v="1"/>
    <s v="West"/>
    <n v="1"/>
    <n v="12000"/>
    <n v="12000"/>
  </r>
  <r>
    <s v="ORD003"/>
    <d v="2026-09-02T00:00:00"/>
    <s v="Rahul Joshi"/>
    <s v="Printer"/>
    <x v="2"/>
    <s v="South"/>
    <n v="1"/>
    <n v="18000"/>
    <n v="18000"/>
  </r>
  <r>
    <s v="ORD004"/>
    <d v="2026-09-02T00:00:00"/>
    <s v="Sneha Kulkarni"/>
    <s v="Keyboard"/>
    <x v="0"/>
    <s v="Central"/>
    <n v="3"/>
    <n v="1500"/>
    <n v="4500"/>
  </r>
  <r>
    <s v="ORD005"/>
    <d v="2026-09-03T00:00:00"/>
    <s v="Vikram Singh"/>
    <s v="Desk"/>
    <x v="1"/>
    <s v="East"/>
    <n v="1"/>
    <n v="15000"/>
    <n v="15000"/>
  </r>
  <r>
    <s v="ORD006"/>
    <d v="2026-09-03T00:00:00"/>
    <s v="Neha Verma"/>
    <s v="Mouse"/>
    <x v="0"/>
    <s v="West"/>
    <n v="4"/>
    <n v="800"/>
    <n v="3200"/>
  </r>
  <r>
    <s v="ORD007"/>
    <d v="2026-09-04T00:00:00"/>
    <s v="Rohan Mehta"/>
    <s v="Monitor"/>
    <x v="0"/>
    <s v="North"/>
    <n v="2"/>
    <n v="12000"/>
    <n v="24000"/>
  </r>
  <r>
    <s v="ORD008"/>
    <d v="2026-09-04T00:00:00"/>
    <s v="Ananya Rao"/>
    <s v="Notebook"/>
    <x v="2"/>
    <s v="South"/>
    <n v="10"/>
    <n v="120"/>
    <n v="1200"/>
  </r>
  <r>
    <s v="ORD009"/>
    <d v="2026-09-05T00:00:00"/>
    <s v="Karan Shah"/>
    <s v="Desk Lamp"/>
    <x v="1"/>
    <s v="Central"/>
    <n v="2"/>
    <n v="1800"/>
    <n v="3600"/>
  </r>
  <r>
    <s v="ORD010"/>
    <d v="2026-09-05T00:00:00"/>
    <s v="Isha Deshmukh"/>
    <s v="Pen Set"/>
    <x v="2"/>
    <s v="East"/>
    <n v="8"/>
    <n v="250"/>
    <n v="2000"/>
  </r>
  <r>
    <s v="ORD011"/>
    <d v="2026-09-06T00:00:00"/>
    <s v="Aditya Nair"/>
    <s v="Laptop"/>
    <x v="0"/>
    <s v="West"/>
    <n v="1"/>
    <n v="85000"/>
    <n v="85000"/>
  </r>
  <r>
    <s v="ORD012"/>
    <d v="2026-09-06T00:00:00"/>
    <s v="Meera Gupta"/>
    <s v="Office Chair"/>
    <x v="1"/>
    <s v="North"/>
    <n v="2"/>
    <n v="11000"/>
    <n v="22000"/>
  </r>
  <r>
    <s v="ORD013"/>
    <d v="2026-09-07T00:00:00"/>
    <s v="Sahil More"/>
    <s v="Printer"/>
    <x v="2"/>
    <s v="South"/>
    <n v="2"/>
    <n v="17500"/>
    <n v="35000"/>
  </r>
  <r>
    <s v="ORD014"/>
    <d v="2026-09-07T00:00:00"/>
    <s v="Pooja Jadhav"/>
    <s v="Keyboard"/>
    <x v="0"/>
    <s v="Central"/>
    <n v="2"/>
    <n v="1600"/>
    <n v="3200"/>
  </r>
  <r>
    <s v="ORD015"/>
    <d v="2026-09-08T00:00:00"/>
    <s v="Amit Yadav"/>
    <s v="Desk"/>
    <x v="1"/>
    <s v="East"/>
    <n v="2"/>
    <n v="14500"/>
    <n v="29000"/>
  </r>
  <r>
    <s v="ORD016"/>
    <d v="2026-09-08T00:00:00"/>
    <s v="Kavya Iyer"/>
    <s v="Mouse"/>
    <x v="0"/>
    <s v="West"/>
    <n v="5"/>
    <n v="750"/>
    <n v="3750"/>
  </r>
  <r>
    <s v="ORD017"/>
    <d v="2026-09-09T00:00:00"/>
    <s v="Manish Kumar"/>
    <s v="Monitor"/>
    <x v="0"/>
    <s v="North"/>
    <n v="1"/>
    <n v="12500"/>
    <n v="12500"/>
  </r>
  <r>
    <s v="ORD018"/>
    <d v="2026-09-09T00:00:00"/>
    <s v="Riya Sane"/>
    <s v="Notebook"/>
    <x v="2"/>
    <s v="South"/>
    <n v="15"/>
    <n v="100"/>
    <n v="1500"/>
  </r>
  <r>
    <s v="ORD019"/>
    <d v="2026-09-10T00:00:00"/>
    <s v="Nikhil Pawar"/>
    <s v="Desk Lamp"/>
    <x v="1"/>
    <s v="Central"/>
    <n v="3"/>
    <n v="1700"/>
    <n v="5100"/>
  </r>
  <r>
    <s v="ORD020"/>
    <d v="2026-09-10T00:00:00"/>
    <s v="Tanvi Joshi"/>
    <s v="Pen Set"/>
    <x v="2"/>
    <s v="East"/>
    <n v="5"/>
    <n v="300"/>
    <n v="1500"/>
  </r>
  <r>
    <s v="ORD021"/>
    <d v="2026-09-11T00:00:00"/>
    <s v="Dev Malhotra"/>
    <s v="Laptop"/>
    <x v="0"/>
    <s v="West"/>
    <n v="2"/>
    <n v="82000"/>
    <n v="164000"/>
  </r>
  <r>
    <s v="ORD022"/>
    <d v="2026-09-11T00:00:00"/>
    <s v="Simran Kaur"/>
    <s v="Office Chair"/>
    <x v="1"/>
    <s v="North"/>
    <n v="1"/>
    <n v="12500"/>
    <n v="12500"/>
  </r>
  <r>
    <s v="ORD023"/>
    <d v="2026-09-12T00:00:00"/>
    <s v="Arjun Bhosale"/>
    <s v="Printer"/>
    <x v="2"/>
    <s v="South"/>
    <n v="1"/>
    <n v="19000"/>
    <n v="19000"/>
  </r>
  <r>
    <s v="ORD024"/>
    <d v="2026-09-12T00:00:00"/>
    <s v="Maya Kapoor"/>
    <s v="Keyboard"/>
    <x v="0"/>
    <s v="Central"/>
    <n v="4"/>
    <n v="1400"/>
    <n v="5600"/>
  </r>
  <r>
    <s v="ORD025"/>
    <d v="2026-09-13T00:00:00"/>
    <s v="Yash Thakur"/>
    <s v="Desk"/>
    <x v="1"/>
    <s v="East"/>
    <n v="1"/>
    <n v="15500"/>
    <n v="15500"/>
  </r>
  <r>
    <s v="ORD026"/>
    <d v="2026-09-13T00:00:00"/>
    <s v="Diya Kulkarni"/>
    <s v="Mouse"/>
    <x v="0"/>
    <s v="West"/>
    <n v="3"/>
    <n v="900"/>
    <n v="2700"/>
  </r>
  <r>
    <s v="ORD027"/>
    <d v="2026-09-14T00:00:00"/>
    <s v="Omkar Shinde"/>
    <s v="Monitor"/>
    <x v="0"/>
    <s v="North"/>
    <n v="2"/>
    <n v="11800"/>
    <n v="23600"/>
  </r>
  <r>
    <s v="ORD028"/>
    <d v="2026-09-14T00:00:00"/>
    <s v="Nisha Agarwal"/>
    <s v="Notebook"/>
    <x v="2"/>
    <s v="South"/>
    <n v="12"/>
    <n v="110"/>
    <n v="1320"/>
  </r>
  <r>
    <s v="ORD029"/>
    <d v="2026-09-15T00:00:00"/>
    <s v="Harsh Vora"/>
    <s v="Desk Lamp"/>
    <x v="1"/>
    <s v="Central"/>
    <n v="1"/>
    <n v="2000"/>
    <n v="2000"/>
  </r>
  <r>
    <s v="ORD030"/>
    <d v="2026-09-15T00:00:00"/>
    <s v="Aditi Joshi"/>
    <s v="Pen Set"/>
    <x v="2"/>
    <s v="East"/>
    <n v="10"/>
    <n v="220"/>
    <n v="2200"/>
  </r>
  <r>
    <s v="ORD031"/>
    <d v="2026-09-16T00:00:00"/>
    <s v="Suresh Pawar"/>
    <s v="Laptop"/>
    <x v="0"/>
    <s v="West"/>
    <n v="1"/>
    <n v="90000"/>
    <n v="90000"/>
  </r>
  <r>
    <s v="ORD032"/>
    <d v="2026-09-16T00:00:00"/>
    <s v="Komal Jain"/>
    <s v="Office Chair"/>
    <x v="1"/>
    <s v="North"/>
    <n v="2"/>
    <n v="11500"/>
    <n v="23000"/>
  </r>
  <r>
    <s v="ORD033"/>
    <d v="2026-09-17T00:00:00"/>
    <s v="Akash Gupta"/>
    <s v="Printer"/>
    <x v="2"/>
    <s v="South"/>
    <n v="1"/>
    <n v="18500"/>
    <n v="18500"/>
  </r>
  <r>
    <s v="ORD034"/>
    <d v="2026-09-17T00:00:00"/>
    <s v="Shreya Patil"/>
    <s v="Keyboard"/>
    <x v="0"/>
    <s v="Central"/>
    <n v="3"/>
    <n v="1550"/>
    <n v="4650"/>
  </r>
  <r>
    <s v="ORD035"/>
    <d v="2026-09-18T00:00:00"/>
    <s v="Varun Joshi"/>
    <s v="Desk"/>
    <x v="1"/>
    <s v="East"/>
    <n v="2"/>
    <n v="15000"/>
    <n v="30000"/>
  </r>
  <r>
    <s v="ORD036"/>
    <d v="2026-09-18T00:00:00"/>
    <s v="Anjali More"/>
    <s v="Mouse"/>
    <x v="0"/>
    <s v="West"/>
    <n v="6"/>
    <n v="700"/>
    <n v="4200"/>
  </r>
  <r>
    <s v="ORD037"/>
    <d v="2026-09-19T00:00:00"/>
    <s v="Ritesh Shah"/>
    <s v="Monitor"/>
    <x v="0"/>
    <s v="North"/>
    <n v="1"/>
    <n v="13000"/>
    <n v="13000"/>
  </r>
  <r>
    <s v="ORD038"/>
    <d v="2026-09-19T00:00:00"/>
    <s v="Sakshi Rao"/>
    <s v="Notebook"/>
    <x v="2"/>
    <s v="South"/>
    <n v="20"/>
    <n v="90"/>
    <n v="1800"/>
  </r>
  <r>
    <s v="ORD039"/>
    <d v="2026-09-20T00:00:00"/>
    <s v="Gaurav Mehta"/>
    <s v="Desk Lamp"/>
    <x v="1"/>
    <s v="Central"/>
    <n v="2"/>
    <n v="1900"/>
    <n v="3800"/>
  </r>
  <r>
    <s v="ORD040"/>
    <d v="2026-09-20T00:00:00"/>
    <s v="Pallavi Nair"/>
    <s v="Pen Set"/>
    <x v="2"/>
    <s v="East"/>
    <n v="7"/>
    <n v="280"/>
    <n v="1960"/>
  </r>
  <r>
    <s v="ORD003"/>
    <d v="2026-09-02T00:00:00"/>
    <s v="Rahul Joshi"/>
    <s v="Printer"/>
    <x v="2"/>
    <s v="South"/>
    <n v="1"/>
    <n v="18000"/>
    <n v="18000"/>
  </r>
  <r>
    <s v="ORD010"/>
    <d v="2026-09-05T00:00:00"/>
    <s v="Isha Deshmukh"/>
    <s v="Pen Set"/>
    <x v="2"/>
    <s v="East"/>
    <n v="8"/>
    <n v="250"/>
    <n v="2000"/>
  </r>
  <r>
    <s v="ORD015"/>
    <d v="2026-09-08T00:00:00"/>
    <s v="Amit Yadav"/>
    <s v="Desk"/>
    <x v="1"/>
    <s v="East"/>
    <n v="2"/>
    <n v="14500"/>
    <n v="29000"/>
  </r>
  <r>
    <s v="ORD021"/>
    <d v="2026-09-11T00:00:00"/>
    <s v="Dev Malhotra"/>
    <s v="Laptop"/>
    <x v="0"/>
    <s v="West"/>
    <n v="2"/>
    <n v="82000"/>
    <n v="164000"/>
  </r>
  <r>
    <s v="ORD032"/>
    <d v="2026-09-16T00:00:00"/>
    <s v="Komal Jain"/>
    <s v="Office Chair"/>
    <x v="1"/>
    <s v="North"/>
    <n v="2"/>
    <n v="11500"/>
    <n v="23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94B2EB-77C7-425F-9D8F-2DF83C52D25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Category">
  <location ref="A13:B17" firstHeaderRow="1" firstDataRow="1" firstDataCol="1"/>
  <pivotFields count="9">
    <pivotField showAll="0"/>
    <pivotField numFmtId="14" showAll="0"/>
    <pivotField showAll="0"/>
    <pivotField dataField="1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roduct Name" fld="3" subtotal="count" baseField="0" baseItem="0"/>
  </dataFields>
  <chartFormats count="1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23B9CE-9278-4DD7-99A9-174BC90208A3}" name="Table1" displayName="Table1" ref="A1:I46" totalsRowShown="0">
  <autoFilter ref="A1:I46" xr:uid="{B723B9CE-9278-4DD7-99A9-174BC90208A3}"/>
  <tableColumns count="9">
    <tableColumn id="1" xr3:uid="{6CBA4864-5ABC-455E-8342-41D56929EC25}" name="Order ID"/>
    <tableColumn id="2" xr3:uid="{A9600261-D7A9-4659-B061-DF07952FE9A2}" name="Order Date" dataDxfId="0"/>
    <tableColumn id="3" xr3:uid="{09EA006B-D5B4-4444-9096-083A3DCFCCC4}" name="Customer Name"/>
    <tableColumn id="4" xr3:uid="{7EE6AF2F-F2A2-4013-8EFE-732723DE26AB}" name="Product Name"/>
    <tableColumn id="5" xr3:uid="{C733CF16-A23E-4A7C-8A83-6F6D51FF65E5}" name="Category"/>
    <tableColumn id="6" xr3:uid="{AFBEC1BD-4DE1-4DE1-8EEC-D0E4CA743824}" name="Region"/>
    <tableColumn id="7" xr3:uid="{3F6436FF-2295-45CE-B11F-B751EBA593A2}" name="Quantity"/>
    <tableColumn id="8" xr3:uid="{0C437A26-8587-47BF-9F86-C292D6672C19}" name="Unit Price"/>
    <tableColumn id="9" xr3:uid="{1651A5D9-E91C-4EDA-A8C5-6F53FB9E2095}" name="Sales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A5A98-DEE4-4E71-AF64-5D5A8B706D2E}">
  <dimension ref="A1:I46"/>
  <sheetViews>
    <sheetView tabSelected="1" topLeftCell="B1" workbookViewId="0">
      <selection activeCell="E45" sqref="E45"/>
    </sheetView>
  </sheetViews>
  <sheetFormatPr defaultRowHeight="14.4" x14ac:dyDescent="0.3"/>
  <cols>
    <col min="1" max="1" width="9.88671875" customWidth="1"/>
    <col min="2" max="2" width="12" customWidth="1"/>
    <col min="3" max="3" width="16.44140625" customWidth="1"/>
    <col min="4" max="4" width="15" customWidth="1"/>
    <col min="5" max="5" width="14.77734375" customWidth="1"/>
    <col min="7" max="7" width="10.21875" customWidth="1"/>
    <col min="8" max="8" width="1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s="1">
        <v>46266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80000</v>
      </c>
      <c r="I2">
        <v>160000</v>
      </c>
    </row>
    <row r="3" spans="1:9" x14ac:dyDescent="0.3">
      <c r="A3" t="s">
        <v>14</v>
      </c>
      <c r="B3" s="1">
        <v>46266</v>
      </c>
      <c r="C3" t="s">
        <v>15</v>
      </c>
      <c r="D3" t="s">
        <v>16</v>
      </c>
      <c r="E3" t="s">
        <v>17</v>
      </c>
      <c r="F3" t="s">
        <v>13</v>
      </c>
      <c r="G3">
        <v>1</v>
      </c>
      <c r="H3">
        <v>12000</v>
      </c>
      <c r="I3">
        <v>12000</v>
      </c>
    </row>
    <row r="4" spans="1:9" x14ac:dyDescent="0.3">
      <c r="A4" t="s">
        <v>18</v>
      </c>
      <c r="B4" s="1">
        <v>46267</v>
      </c>
      <c r="C4" t="s">
        <v>19</v>
      </c>
      <c r="D4" t="s">
        <v>20</v>
      </c>
      <c r="E4" t="s">
        <v>21</v>
      </c>
      <c r="F4" t="s">
        <v>22</v>
      </c>
      <c r="G4">
        <v>1</v>
      </c>
      <c r="H4">
        <v>18000</v>
      </c>
      <c r="I4">
        <v>18000</v>
      </c>
    </row>
    <row r="5" spans="1:9" x14ac:dyDescent="0.3">
      <c r="A5" t="s">
        <v>23</v>
      </c>
      <c r="B5" s="1">
        <v>46267</v>
      </c>
      <c r="C5" t="s">
        <v>24</v>
      </c>
      <c r="D5" t="s">
        <v>25</v>
      </c>
      <c r="E5" t="s">
        <v>12</v>
      </c>
      <c r="F5" t="s">
        <v>26</v>
      </c>
      <c r="G5">
        <v>3</v>
      </c>
      <c r="H5">
        <v>1500</v>
      </c>
      <c r="I5">
        <v>4500</v>
      </c>
    </row>
    <row r="6" spans="1:9" x14ac:dyDescent="0.3">
      <c r="A6" t="s">
        <v>27</v>
      </c>
      <c r="B6" s="1">
        <v>46268</v>
      </c>
      <c r="C6" t="s">
        <v>28</v>
      </c>
      <c r="D6" t="s">
        <v>29</v>
      </c>
      <c r="E6" t="s">
        <v>17</v>
      </c>
      <c r="F6" t="s">
        <v>30</v>
      </c>
      <c r="G6">
        <v>1</v>
      </c>
      <c r="H6">
        <v>15000</v>
      </c>
      <c r="I6">
        <v>15000</v>
      </c>
    </row>
    <row r="7" spans="1:9" x14ac:dyDescent="0.3">
      <c r="A7" t="s">
        <v>31</v>
      </c>
      <c r="B7" s="1">
        <v>46268</v>
      </c>
      <c r="C7" t="s">
        <v>32</v>
      </c>
      <c r="D7" t="s">
        <v>33</v>
      </c>
      <c r="E7" t="s">
        <v>12</v>
      </c>
      <c r="F7" t="s">
        <v>13</v>
      </c>
      <c r="G7">
        <v>4</v>
      </c>
      <c r="H7">
        <v>800</v>
      </c>
      <c r="I7">
        <v>3200</v>
      </c>
    </row>
    <row r="8" spans="1:9" x14ac:dyDescent="0.3">
      <c r="A8" t="s">
        <v>34</v>
      </c>
      <c r="B8" s="1">
        <v>46269</v>
      </c>
      <c r="C8" t="s">
        <v>35</v>
      </c>
      <c r="D8" t="s">
        <v>36</v>
      </c>
      <c r="E8" t="s">
        <v>12</v>
      </c>
      <c r="F8" t="s">
        <v>37</v>
      </c>
      <c r="G8">
        <v>2</v>
      </c>
      <c r="H8">
        <v>12000</v>
      </c>
      <c r="I8">
        <v>24000</v>
      </c>
    </row>
    <row r="9" spans="1:9" x14ac:dyDescent="0.3">
      <c r="A9" t="s">
        <v>38</v>
      </c>
      <c r="B9" s="1">
        <v>46269</v>
      </c>
      <c r="C9" t="s">
        <v>39</v>
      </c>
      <c r="D9" t="s">
        <v>40</v>
      </c>
      <c r="E9" t="s">
        <v>21</v>
      </c>
      <c r="F9" t="s">
        <v>22</v>
      </c>
      <c r="G9">
        <v>10</v>
      </c>
      <c r="H9">
        <v>120</v>
      </c>
      <c r="I9">
        <v>1200</v>
      </c>
    </row>
    <row r="10" spans="1:9" x14ac:dyDescent="0.3">
      <c r="A10" t="s">
        <v>41</v>
      </c>
      <c r="B10" s="1">
        <v>46270</v>
      </c>
      <c r="C10" t="s">
        <v>42</v>
      </c>
      <c r="D10" t="s">
        <v>43</v>
      </c>
      <c r="E10" t="s">
        <v>17</v>
      </c>
      <c r="F10" t="s">
        <v>26</v>
      </c>
      <c r="G10">
        <v>2</v>
      </c>
      <c r="H10">
        <v>1800</v>
      </c>
      <c r="I10">
        <v>3600</v>
      </c>
    </row>
    <row r="11" spans="1:9" x14ac:dyDescent="0.3">
      <c r="A11" t="s">
        <v>44</v>
      </c>
      <c r="B11" s="1">
        <v>46270</v>
      </c>
      <c r="C11" t="s">
        <v>45</v>
      </c>
      <c r="D11" t="s">
        <v>46</v>
      </c>
      <c r="E11" t="s">
        <v>21</v>
      </c>
      <c r="F11" t="s">
        <v>30</v>
      </c>
      <c r="G11">
        <v>8</v>
      </c>
      <c r="H11">
        <v>250</v>
      </c>
      <c r="I11">
        <v>2000</v>
      </c>
    </row>
    <row r="12" spans="1:9" x14ac:dyDescent="0.3">
      <c r="A12" t="s">
        <v>47</v>
      </c>
      <c r="B12" s="1">
        <v>46271</v>
      </c>
      <c r="C12" t="s">
        <v>48</v>
      </c>
      <c r="D12" t="s">
        <v>11</v>
      </c>
      <c r="E12" t="s">
        <v>12</v>
      </c>
      <c r="F12" t="s">
        <v>13</v>
      </c>
      <c r="G12">
        <v>1</v>
      </c>
      <c r="H12">
        <v>85000</v>
      </c>
      <c r="I12">
        <v>85000</v>
      </c>
    </row>
    <row r="13" spans="1:9" x14ac:dyDescent="0.3">
      <c r="A13" t="s">
        <v>49</v>
      </c>
      <c r="B13" s="1">
        <v>46271</v>
      </c>
      <c r="C13" t="s">
        <v>50</v>
      </c>
      <c r="D13" t="s">
        <v>16</v>
      </c>
      <c r="E13" t="s">
        <v>17</v>
      </c>
      <c r="F13" t="s">
        <v>37</v>
      </c>
      <c r="G13">
        <v>2</v>
      </c>
      <c r="H13">
        <v>11000</v>
      </c>
      <c r="I13">
        <v>22000</v>
      </c>
    </row>
    <row r="14" spans="1:9" x14ac:dyDescent="0.3">
      <c r="A14" t="s">
        <v>51</v>
      </c>
      <c r="B14" s="1">
        <v>46272</v>
      </c>
      <c r="C14" t="s">
        <v>52</v>
      </c>
      <c r="D14" t="s">
        <v>20</v>
      </c>
      <c r="E14" t="s">
        <v>21</v>
      </c>
      <c r="F14" t="s">
        <v>22</v>
      </c>
      <c r="G14">
        <v>2</v>
      </c>
      <c r="H14">
        <v>17500</v>
      </c>
      <c r="I14">
        <v>35000</v>
      </c>
    </row>
    <row r="15" spans="1:9" x14ac:dyDescent="0.3">
      <c r="A15" t="s">
        <v>53</v>
      </c>
      <c r="B15" s="1">
        <v>46272</v>
      </c>
      <c r="C15" t="s">
        <v>54</v>
      </c>
      <c r="D15" t="s">
        <v>25</v>
      </c>
      <c r="E15" t="s">
        <v>12</v>
      </c>
      <c r="F15" t="s">
        <v>26</v>
      </c>
      <c r="G15">
        <v>2</v>
      </c>
      <c r="H15">
        <v>1600</v>
      </c>
      <c r="I15">
        <v>3200</v>
      </c>
    </row>
    <row r="16" spans="1:9" x14ac:dyDescent="0.3">
      <c r="A16" t="s">
        <v>55</v>
      </c>
      <c r="B16" s="1">
        <v>46273</v>
      </c>
      <c r="C16" t="s">
        <v>56</v>
      </c>
      <c r="D16" t="s">
        <v>29</v>
      </c>
      <c r="E16" t="s">
        <v>17</v>
      </c>
      <c r="F16" t="s">
        <v>30</v>
      </c>
      <c r="G16">
        <v>2</v>
      </c>
      <c r="H16">
        <v>14500</v>
      </c>
      <c r="I16">
        <v>29000</v>
      </c>
    </row>
    <row r="17" spans="1:9" x14ac:dyDescent="0.3">
      <c r="A17" t="s">
        <v>57</v>
      </c>
      <c r="B17" s="1">
        <v>46273</v>
      </c>
      <c r="C17" t="s">
        <v>58</v>
      </c>
      <c r="D17" t="s">
        <v>33</v>
      </c>
      <c r="E17" t="s">
        <v>12</v>
      </c>
      <c r="F17" t="s">
        <v>13</v>
      </c>
      <c r="G17">
        <v>5</v>
      </c>
      <c r="H17">
        <v>750</v>
      </c>
      <c r="I17">
        <v>3750</v>
      </c>
    </row>
    <row r="18" spans="1:9" x14ac:dyDescent="0.3">
      <c r="A18" t="s">
        <v>59</v>
      </c>
      <c r="B18" s="1">
        <v>46274</v>
      </c>
      <c r="C18" t="s">
        <v>60</v>
      </c>
      <c r="D18" t="s">
        <v>36</v>
      </c>
      <c r="E18" t="s">
        <v>12</v>
      </c>
      <c r="F18" t="s">
        <v>37</v>
      </c>
      <c r="G18">
        <v>1</v>
      </c>
      <c r="H18">
        <v>12500</v>
      </c>
      <c r="I18">
        <v>12500</v>
      </c>
    </row>
    <row r="19" spans="1:9" x14ac:dyDescent="0.3">
      <c r="A19" t="s">
        <v>61</v>
      </c>
      <c r="B19" s="1">
        <v>46274</v>
      </c>
      <c r="C19" t="s">
        <v>62</v>
      </c>
      <c r="D19" t="s">
        <v>40</v>
      </c>
      <c r="E19" t="s">
        <v>21</v>
      </c>
      <c r="F19" t="s">
        <v>22</v>
      </c>
      <c r="G19">
        <v>15</v>
      </c>
      <c r="H19">
        <v>100</v>
      </c>
      <c r="I19">
        <v>1500</v>
      </c>
    </row>
    <row r="20" spans="1:9" x14ac:dyDescent="0.3">
      <c r="A20" t="s">
        <v>63</v>
      </c>
      <c r="B20" s="1">
        <v>46275</v>
      </c>
      <c r="C20" t="s">
        <v>64</v>
      </c>
      <c r="D20" t="s">
        <v>43</v>
      </c>
      <c r="E20" t="s">
        <v>17</v>
      </c>
      <c r="F20" t="s">
        <v>26</v>
      </c>
      <c r="G20">
        <v>3</v>
      </c>
      <c r="H20">
        <v>1700</v>
      </c>
      <c r="I20">
        <v>5100</v>
      </c>
    </row>
    <row r="21" spans="1:9" x14ac:dyDescent="0.3">
      <c r="A21" t="s">
        <v>65</v>
      </c>
      <c r="B21" s="1">
        <v>46275</v>
      </c>
      <c r="C21" t="s">
        <v>66</v>
      </c>
      <c r="D21" t="s">
        <v>46</v>
      </c>
      <c r="E21" t="s">
        <v>21</v>
      </c>
      <c r="F21" t="s">
        <v>30</v>
      </c>
      <c r="G21">
        <v>5</v>
      </c>
      <c r="H21">
        <v>300</v>
      </c>
      <c r="I21">
        <v>1500</v>
      </c>
    </row>
    <row r="22" spans="1:9" x14ac:dyDescent="0.3">
      <c r="A22" t="s">
        <v>67</v>
      </c>
      <c r="B22" s="1">
        <v>46276</v>
      </c>
      <c r="C22" t="s">
        <v>68</v>
      </c>
      <c r="D22" t="s">
        <v>11</v>
      </c>
      <c r="E22" t="s">
        <v>12</v>
      </c>
      <c r="F22" t="s">
        <v>13</v>
      </c>
      <c r="G22">
        <v>2</v>
      </c>
      <c r="H22">
        <v>82000</v>
      </c>
      <c r="I22">
        <v>164000</v>
      </c>
    </row>
    <row r="23" spans="1:9" x14ac:dyDescent="0.3">
      <c r="A23" t="s">
        <v>69</v>
      </c>
      <c r="B23" s="1">
        <v>46276</v>
      </c>
      <c r="C23" t="s">
        <v>70</v>
      </c>
      <c r="D23" t="s">
        <v>16</v>
      </c>
      <c r="E23" t="s">
        <v>17</v>
      </c>
      <c r="F23" t="s">
        <v>37</v>
      </c>
      <c r="G23">
        <v>1</v>
      </c>
      <c r="H23">
        <v>12500</v>
      </c>
      <c r="I23">
        <v>12500</v>
      </c>
    </row>
    <row r="24" spans="1:9" x14ac:dyDescent="0.3">
      <c r="A24" t="s">
        <v>71</v>
      </c>
      <c r="B24" s="1">
        <v>46277</v>
      </c>
      <c r="C24" t="s">
        <v>72</v>
      </c>
      <c r="D24" t="s">
        <v>20</v>
      </c>
      <c r="E24" t="s">
        <v>21</v>
      </c>
      <c r="F24" t="s">
        <v>22</v>
      </c>
      <c r="G24">
        <v>1</v>
      </c>
      <c r="H24">
        <v>19000</v>
      </c>
      <c r="I24">
        <v>19000</v>
      </c>
    </row>
    <row r="25" spans="1:9" x14ac:dyDescent="0.3">
      <c r="A25" t="s">
        <v>73</v>
      </c>
      <c r="B25" s="1">
        <v>46277</v>
      </c>
      <c r="C25" t="s">
        <v>74</v>
      </c>
      <c r="D25" t="s">
        <v>25</v>
      </c>
      <c r="E25" t="s">
        <v>12</v>
      </c>
      <c r="F25" t="s">
        <v>26</v>
      </c>
      <c r="G25">
        <v>4</v>
      </c>
      <c r="H25">
        <v>1400</v>
      </c>
      <c r="I25">
        <v>5600</v>
      </c>
    </row>
    <row r="26" spans="1:9" x14ac:dyDescent="0.3">
      <c r="A26" t="s">
        <v>75</v>
      </c>
      <c r="B26" s="1">
        <v>46278</v>
      </c>
      <c r="C26" t="s">
        <v>76</v>
      </c>
      <c r="D26" t="s">
        <v>29</v>
      </c>
      <c r="E26" t="s">
        <v>17</v>
      </c>
      <c r="F26" t="s">
        <v>30</v>
      </c>
      <c r="G26">
        <v>1</v>
      </c>
      <c r="H26">
        <v>15500</v>
      </c>
      <c r="I26">
        <v>15500</v>
      </c>
    </row>
    <row r="27" spans="1:9" x14ac:dyDescent="0.3">
      <c r="A27" t="s">
        <v>77</v>
      </c>
      <c r="B27" s="1">
        <v>46278</v>
      </c>
      <c r="C27" t="s">
        <v>78</v>
      </c>
      <c r="D27" t="s">
        <v>33</v>
      </c>
      <c r="E27" t="s">
        <v>12</v>
      </c>
      <c r="F27" t="s">
        <v>13</v>
      </c>
      <c r="G27">
        <v>3</v>
      </c>
      <c r="H27">
        <v>900</v>
      </c>
      <c r="I27">
        <v>2700</v>
      </c>
    </row>
    <row r="28" spans="1:9" x14ac:dyDescent="0.3">
      <c r="A28" t="s">
        <v>79</v>
      </c>
      <c r="B28" s="1">
        <v>46279</v>
      </c>
      <c r="C28" t="s">
        <v>80</v>
      </c>
      <c r="D28" t="s">
        <v>36</v>
      </c>
      <c r="E28" t="s">
        <v>12</v>
      </c>
      <c r="F28" t="s">
        <v>37</v>
      </c>
      <c r="G28">
        <v>2</v>
      </c>
      <c r="H28">
        <v>11800</v>
      </c>
      <c r="I28">
        <v>23600</v>
      </c>
    </row>
    <row r="29" spans="1:9" x14ac:dyDescent="0.3">
      <c r="A29" t="s">
        <v>81</v>
      </c>
      <c r="B29" s="1">
        <v>46279</v>
      </c>
      <c r="C29" t="s">
        <v>82</v>
      </c>
      <c r="D29" t="s">
        <v>40</v>
      </c>
      <c r="E29" t="s">
        <v>21</v>
      </c>
      <c r="F29" t="s">
        <v>22</v>
      </c>
      <c r="G29">
        <v>12</v>
      </c>
      <c r="H29">
        <v>110</v>
      </c>
      <c r="I29">
        <v>1320</v>
      </c>
    </row>
    <row r="30" spans="1:9" x14ac:dyDescent="0.3">
      <c r="A30" t="s">
        <v>83</v>
      </c>
      <c r="B30" s="1">
        <v>46280</v>
      </c>
      <c r="C30" t="s">
        <v>84</v>
      </c>
      <c r="D30" t="s">
        <v>43</v>
      </c>
      <c r="E30" t="s">
        <v>17</v>
      </c>
      <c r="F30" t="s">
        <v>26</v>
      </c>
      <c r="G30">
        <v>1</v>
      </c>
      <c r="H30">
        <v>2000</v>
      </c>
      <c r="I30">
        <v>2000</v>
      </c>
    </row>
    <row r="31" spans="1:9" x14ac:dyDescent="0.3">
      <c r="A31" t="s">
        <v>85</v>
      </c>
      <c r="B31" s="1">
        <v>46280</v>
      </c>
      <c r="C31" t="s">
        <v>86</v>
      </c>
      <c r="D31" t="s">
        <v>46</v>
      </c>
      <c r="E31" t="s">
        <v>21</v>
      </c>
      <c r="F31" t="s">
        <v>30</v>
      </c>
      <c r="G31">
        <v>10</v>
      </c>
      <c r="H31">
        <v>220</v>
      </c>
      <c r="I31">
        <v>2200</v>
      </c>
    </row>
    <row r="32" spans="1:9" x14ac:dyDescent="0.3">
      <c r="A32" t="s">
        <v>87</v>
      </c>
      <c r="B32" s="1">
        <v>46281</v>
      </c>
      <c r="C32" t="s">
        <v>88</v>
      </c>
      <c r="D32" t="s">
        <v>11</v>
      </c>
      <c r="E32" t="s">
        <v>12</v>
      </c>
      <c r="F32" t="s">
        <v>13</v>
      </c>
      <c r="G32">
        <v>1</v>
      </c>
      <c r="H32">
        <v>90000</v>
      </c>
      <c r="I32">
        <v>90000</v>
      </c>
    </row>
    <row r="33" spans="1:9" x14ac:dyDescent="0.3">
      <c r="A33" t="s">
        <v>89</v>
      </c>
      <c r="B33" s="1">
        <v>46281</v>
      </c>
      <c r="C33" t="s">
        <v>90</v>
      </c>
      <c r="D33" t="s">
        <v>16</v>
      </c>
      <c r="E33" t="s">
        <v>17</v>
      </c>
      <c r="F33" t="s">
        <v>37</v>
      </c>
      <c r="G33">
        <v>2</v>
      </c>
      <c r="H33">
        <v>11500</v>
      </c>
      <c r="I33">
        <v>23000</v>
      </c>
    </row>
    <row r="34" spans="1:9" x14ac:dyDescent="0.3">
      <c r="A34" t="s">
        <v>91</v>
      </c>
      <c r="B34" s="1">
        <v>46282</v>
      </c>
      <c r="C34" t="s">
        <v>92</v>
      </c>
      <c r="D34" t="s">
        <v>20</v>
      </c>
      <c r="E34" t="s">
        <v>21</v>
      </c>
      <c r="F34" t="s">
        <v>22</v>
      </c>
      <c r="G34">
        <v>1</v>
      </c>
      <c r="H34">
        <v>18500</v>
      </c>
      <c r="I34">
        <v>18500</v>
      </c>
    </row>
    <row r="35" spans="1:9" x14ac:dyDescent="0.3">
      <c r="A35" t="s">
        <v>93</v>
      </c>
      <c r="B35" s="1">
        <v>46282</v>
      </c>
      <c r="C35" t="s">
        <v>94</v>
      </c>
      <c r="D35" t="s">
        <v>25</v>
      </c>
      <c r="E35" t="s">
        <v>12</v>
      </c>
      <c r="F35" t="s">
        <v>26</v>
      </c>
      <c r="G35">
        <v>3</v>
      </c>
      <c r="H35">
        <v>1550</v>
      </c>
      <c r="I35">
        <v>4650</v>
      </c>
    </row>
    <row r="36" spans="1:9" x14ac:dyDescent="0.3">
      <c r="A36" t="s">
        <v>95</v>
      </c>
      <c r="B36" s="1">
        <v>46283</v>
      </c>
      <c r="C36" t="s">
        <v>96</v>
      </c>
      <c r="D36" t="s">
        <v>29</v>
      </c>
      <c r="E36" t="s">
        <v>17</v>
      </c>
      <c r="F36" t="s">
        <v>30</v>
      </c>
      <c r="G36">
        <v>2</v>
      </c>
      <c r="H36">
        <v>15000</v>
      </c>
      <c r="I36">
        <v>30000</v>
      </c>
    </row>
    <row r="37" spans="1:9" x14ac:dyDescent="0.3">
      <c r="A37" t="s">
        <v>97</v>
      </c>
      <c r="B37" s="1">
        <v>46283</v>
      </c>
      <c r="C37" t="s">
        <v>98</v>
      </c>
      <c r="D37" t="s">
        <v>33</v>
      </c>
      <c r="E37" t="s">
        <v>12</v>
      </c>
      <c r="F37" t="s">
        <v>13</v>
      </c>
      <c r="G37">
        <v>6</v>
      </c>
      <c r="H37">
        <v>700</v>
      </c>
      <c r="I37">
        <v>4200</v>
      </c>
    </row>
    <row r="38" spans="1:9" x14ac:dyDescent="0.3">
      <c r="A38" t="s">
        <v>99</v>
      </c>
      <c r="B38" s="1">
        <v>46284</v>
      </c>
      <c r="C38" t="s">
        <v>100</v>
      </c>
      <c r="D38" t="s">
        <v>36</v>
      </c>
      <c r="E38" t="s">
        <v>12</v>
      </c>
      <c r="F38" t="s">
        <v>37</v>
      </c>
      <c r="G38">
        <v>1</v>
      </c>
      <c r="H38">
        <v>13000</v>
      </c>
      <c r="I38">
        <v>13000</v>
      </c>
    </row>
    <row r="39" spans="1:9" x14ac:dyDescent="0.3">
      <c r="A39" t="s">
        <v>101</v>
      </c>
      <c r="B39" s="1">
        <v>46284</v>
      </c>
      <c r="C39" t="s">
        <v>102</v>
      </c>
      <c r="D39" t="s">
        <v>40</v>
      </c>
      <c r="E39" t="s">
        <v>21</v>
      </c>
      <c r="F39" t="s">
        <v>22</v>
      </c>
      <c r="G39">
        <v>20</v>
      </c>
      <c r="H39">
        <v>90</v>
      </c>
      <c r="I39">
        <v>1800</v>
      </c>
    </row>
    <row r="40" spans="1:9" x14ac:dyDescent="0.3">
      <c r="A40" t="s">
        <v>103</v>
      </c>
      <c r="B40" s="1">
        <v>46285</v>
      </c>
      <c r="C40" t="s">
        <v>104</v>
      </c>
      <c r="D40" t="s">
        <v>43</v>
      </c>
      <c r="E40" t="s">
        <v>17</v>
      </c>
      <c r="F40" t="s">
        <v>26</v>
      </c>
      <c r="G40">
        <v>2</v>
      </c>
      <c r="H40">
        <v>1900</v>
      </c>
      <c r="I40">
        <v>3800</v>
      </c>
    </row>
    <row r="41" spans="1:9" x14ac:dyDescent="0.3">
      <c r="A41" t="s">
        <v>105</v>
      </c>
      <c r="B41" s="1">
        <v>46285</v>
      </c>
      <c r="C41" t="s">
        <v>106</v>
      </c>
      <c r="D41" t="s">
        <v>46</v>
      </c>
      <c r="E41" t="s">
        <v>21</v>
      </c>
      <c r="F41" t="s">
        <v>30</v>
      </c>
      <c r="G41">
        <v>7</v>
      </c>
      <c r="H41">
        <v>280</v>
      </c>
      <c r="I41">
        <v>1960</v>
      </c>
    </row>
    <row r="42" spans="1:9" x14ac:dyDescent="0.3">
      <c r="A42" t="s">
        <v>18</v>
      </c>
      <c r="B42" s="1">
        <v>46267</v>
      </c>
      <c r="C42" t="s">
        <v>19</v>
      </c>
      <c r="D42" t="s">
        <v>20</v>
      </c>
      <c r="E42" t="s">
        <v>21</v>
      </c>
      <c r="F42" t="s">
        <v>22</v>
      </c>
      <c r="G42">
        <v>1</v>
      </c>
      <c r="H42">
        <v>18000</v>
      </c>
      <c r="I42">
        <v>18000</v>
      </c>
    </row>
    <row r="43" spans="1:9" x14ac:dyDescent="0.3">
      <c r="A43" t="s">
        <v>44</v>
      </c>
      <c r="B43" s="1">
        <v>46270</v>
      </c>
      <c r="C43" t="s">
        <v>45</v>
      </c>
      <c r="D43" t="s">
        <v>46</v>
      </c>
      <c r="E43" t="s">
        <v>21</v>
      </c>
      <c r="F43" t="s">
        <v>30</v>
      </c>
      <c r="G43">
        <v>8</v>
      </c>
      <c r="H43">
        <v>250</v>
      </c>
      <c r="I43">
        <v>2000</v>
      </c>
    </row>
    <row r="44" spans="1:9" x14ac:dyDescent="0.3">
      <c r="A44" t="s">
        <v>55</v>
      </c>
      <c r="B44" s="1">
        <v>46273</v>
      </c>
      <c r="C44" t="s">
        <v>56</v>
      </c>
      <c r="D44" t="s">
        <v>29</v>
      </c>
      <c r="E44" t="s">
        <v>17</v>
      </c>
      <c r="F44" t="s">
        <v>30</v>
      </c>
      <c r="G44">
        <v>2</v>
      </c>
      <c r="H44">
        <v>14500</v>
      </c>
      <c r="I44">
        <v>29000</v>
      </c>
    </row>
    <row r="45" spans="1:9" x14ac:dyDescent="0.3">
      <c r="A45" t="s">
        <v>67</v>
      </c>
      <c r="B45" s="1">
        <v>46276</v>
      </c>
      <c r="C45" t="s">
        <v>68</v>
      </c>
      <c r="D45" t="s">
        <v>11</v>
      </c>
      <c r="E45" t="s">
        <v>12</v>
      </c>
      <c r="F45" t="s">
        <v>13</v>
      </c>
      <c r="G45">
        <v>2</v>
      </c>
      <c r="H45">
        <v>82000</v>
      </c>
      <c r="I45">
        <v>164000</v>
      </c>
    </row>
    <row r="46" spans="1:9" x14ac:dyDescent="0.3">
      <c r="A46" t="s">
        <v>89</v>
      </c>
      <c r="B46" s="1">
        <v>46281</v>
      </c>
      <c r="C46" t="s">
        <v>90</v>
      </c>
      <c r="D46" t="s">
        <v>16</v>
      </c>
      <c r="E46" t="s">
        <v>17</v>
      </c>
      <c r="F46" t="s">
        <v>37</v>
      </c>
      <c r="G46">
        <v>2</v>
      </c>
      <c r="H46">
        <v>11500</v>
      </c>
      <c r="I46">
        <v>23000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266C0-D487-4F4F-8DE8-F72167E529FB}">
  <dimension ref="A2:J17"/>
  <sheetViews>
    <sheetView topLeftCell="A2" zoomScale="96" zoomScaleNormal="96" workbookViewId="0">
      <selection activeCell="O21" sqref="O21"/>
    </sheetView>
  </sheetViews>
  <sheetFormatPr defaultRowHeight="14.4" x14ac:dyDescent="0.3"/>
  <cols>
    <col min="1" max="1" width="12.88671875" customWidth="1"/>
    <col min="2" max="2" width="20.21875" customWidth="1"/>
  </cols>
  <sheetData>
    <row r="2" spans="1:10" ht="23.4" x14ac:dyDescent="0.45">
      <c r="A2" s="2"/>
      <c r="E2" s="32" t="s">
        <v>107</v>
      </c>
    </row>
    <row r="3" spans="1:10" ht="15" thickBot="1" x14ac:dyDescent="0.35"/>
    <row r="4" spans="1:10" x14ac:dyDescent="0.3">
      <c r="A4" s="8" t="s">
        <v>4</v>
      </c>
      <c r="B4" s="9"/>
      <c r="C4" s="10" t="s">
        <v>108</v>
      </c>
      <c r="D4" s="11"/>
      <c r="F4" s="3"/>
      <c r="G4" s="20" t="s">
        <v>109</v>
      </c>
      <c r="H4" s="21"/>
      <c r="I4" s="24" t="str">
        <f>INDEX(A5:A7,MATCH(MAX(C5:C7),C5:C7,0))</f>
        <v>Technology</v>
      </c>
      <c r="J4" s="21"/>
    </row>
    <row r="5" spans="1:10" x14ac:dyDescent="0.3">
      <c r="A5" s="12" t="s">
        <v>17</v>
      </c>
      <c r="B5" s="13"/>
      <c r="C5" s="14">
        <f>COUNTIF(Original_Data!E:E,Product_Count_Analysis!A5)</f>
        <v>14</v>
      </c>
      <c r="D5" s="15"/>
      <c r="G5" s="22" t="s">
        <v>110</v>
      </c>
      <c r="H5" s="23"/>
      <c r="I5" s="25">
        <f>MAX(C5:C7)</f>
        <v>17</v>
      </c>
      <c r="J5" s="23"/>
    </row>
    <row r="6" spans="1:10" x14ac:dyDescent="0.3">
      <c r="A6" s="12" t="s">
        <v>12</v>
      </c>
      <c r="B6" s="13"/>
      <c r="C6" s="14">
        <f>COUNTIF(Original_Data!E:E,Product_Count_Analysis!A6)</f>
        <v>17</v>
      </c>
      <c r="D6" s="15"/>
    </row>
    <row r="7" spans="1:10" ht="15" thickBot="1" x14ac:dyDescent="0.35">
      <c r="A7" s="16" t="s">
        <v>21</v>
      </c>
      <c r="B7" s="17"/>
      <c r="C7" s="18">
        <f>COUNTIF(Original_Data!E:E,Product_Count_Analysis!A7)</f>
        <v>14</v>
      </c>
      <c r="D7" s="19"/>
      <c r="G7" s="4"/>
      <c r="H7" s="4"/>
      <c r="I7" s="4"/>
    </row>
    <row r="8" spans="1:10" x14ac:dyDescent="0.3">
      <c r="G8" s="33" t="s">
        <v>111</v>
      </c>
      <c r="H8" s="34"/>
      <c r="I8" s="35"/>
    </row>
    <row r="9" spans="1:10" x14ac:dyDescent="0.3">
      <c r="A9" s="26" t="s">
        <v>112</v>
      </c>
      <c r="B9" s="27"/>
      <c r="C9" s="28"/>
      <c r="G9" s="36">
        <f>COUNTA(_xlfn.UNIQUE(Original_Data!D2:D46))</f>
        <v>10</v>
      </c>
      <c r="H9" s="37"/>
      <c r="I9" s="38"/>
    </row>
    <row r="10" spans="1:10" ht="15" thickBot="1" x14ac:dyDescent="0.35">
      <c r="A10" s="29">
        <f>COUNTIFS(Original_Data!E:E,"Technology",Original_Data!F:F,"West")</f>
        <v>9</v>
      </c>
      <c r="B10" s="30"/>
      <c r="C10" s="31"/>
    </row>
    <row r="11" spans="1:10" x14ac:dyDescent="0.3">
      <c r="E11" s="8" t="s">
        <v>4</v>
      </c>
      <c r="F11" s="9"/>
      <c r="G11" s="10" t="s">
        <v>116</v>
      </c>
      <c r="H11" s="11"/>
    </row>
    <row r="12" spans="1:10" ht="18" x14ac:dyDescent="0.35">
      <c r="A12" s="2" t="s">
        <v>115</v>
      </c>
      <c r="E12" s="12" t="s">
        <v>17</v>
      </c>
      <c r="F12" s="13"/>
      <c r="G12" s="14" cm="1">
        <f t="array" ref="G12">COUNTA(_xlfn.UNIQUE(_xlfn._xlws.FILTER(Original_Data!D:D,Original_Data!E:E=Product_Count_Analysis!E12)))</f>
        <v>3</v>
      </c>
      <c r="H12" s="15"/>
    </row>
    <row r="13" spans="1:10" x14ac:dyDescent="0.3">
      <c r="A13" s="5" t="s">
        <v>4</v>
      </c>
      <c r="B13" t="s">
        <v>114</v>
      </c>
      <c r="E13" s="12" t="s">
        <v>12</v>
      </c>
      <c r="F13" s="13"/>
      <c r="G13" s="14" cm="1">
        <f t="array" ref="G13">COUNTA(_xlfn.UNIQUE(_xlfn._xlws.FILTER(Original_Data!D:D,Original_Data!E:E=E13)))</f>
        <v>4</v>
      </c>
      <c r="H13" s="15"/>
    </row>
    <row r="14" spans="1:10" ht="15" thickBot="1" x14ac:dyDescent="0.35">
      <c r="A14" s="6" t="s">
        <v>17</v>
      </c>
      <c r="B14" s="7">
        <v>14</v>
      </c>
      <c r="E14" s="16" t="s">
        <v>21</v>
      </c>
      <c r="F14" s="17"/>
      <c r="G14" s="18" cm="1">
        <f t="array" ref="G14">COUNTA(_xlfn.UNIQUE(_xlfn._xlws.FILTER(Original_Data!D:D,Original_Data!E:E=E14)))</f>
        <v>3</v>
      </c>
      <c r="H14" s="19"/>
    </row>
    <row r="15" spans="1:10" x14ac:dyDescent="0.3">
      <c r="A15" s="6" t="s">
        <v>21</v>
      </c>
      <c r="B15" s="7">
        <v>14</v>
      </c>
    </row>
    <row r="16" spans="1:10" x14ac:dyDescent="0.3">
      <c r="A16" s="6" t="s">
        <v>12</v>
      </c>
      <c r="B16" s="7">
        <v>17</v>
      </c>
    </row>
    <row r="17" spans="1:2" x14ac:dyDescent="0.3">
      <c r="A17" s="6" t="s">
        <v>113</v>
      </c>
      <c r="B17" s="7">
        <v>45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Original_Data</vt:lpstr>
      <vt:lpstr>Product_Count_Analysis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2026-09-22T03:56:58Z</dcterms:created>
  <dcterms:modified xsi:type="dcterms:W3CDTF">2026-09-22T05:33:56Z</dcterms:modified>
</cp:coreProperties>
</file>