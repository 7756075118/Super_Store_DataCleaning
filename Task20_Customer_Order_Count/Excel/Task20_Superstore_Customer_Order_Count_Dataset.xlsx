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20_Customer_Order_Count\Excel\"/>
    </mc:Choice>
  </mc:AlternateContent>
  <xr:revisionPtr revIDLastSave="0" documentId="13_ncr:1_{08445279-D38C-47FE-9112-7CBEB3D271D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 Customer_Order_Dataset" sheetId="1" r:id="rId1"/>
    <sheet name="Unique_Customer_Orders" sheetId="2" r:id="rId2"/>
    <sheet name="Customer_Order_Count" sheetId="3" r:id="rId3"/>
    <sheet name="Top_10_Customers" sheetId="4" r:id="rId4"/>
    <sheet name="Analysi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6" l="1"/>
  <c r="J7" i="6"/>
  <c r="K10" i="6" s="1"/>
</calcChain>
</file>

<file path=xl/sharedStrings.xml><?xml version="1.0" encoding="utf-8"?>
<sst xmlns="http://schemas.openxmlformats.org/spreadsheetml/2006/main" count="943" uniqueCount="131">
  <si>
    <t>Customer ID</t>
  </si>
  <si>
    <t>Customer Name</t>
  </si>
  <si>
    <t>Order ID</t>
  </si>
  <si>
    <t>Order Date</t>
  </si>
  <si>
    <t>Product Name</t>
  </si>
  <si>
    <t>Category</t>
  </si>
  <si>
    <t>Sales</t>
  </si>
  <si>
    <t>Quantity</t>
  </si>
  <si>
    <t>C001</t>
  </si>
  <si>
    <t>Aarav Sharma</t>
  </si>
  <si>
    <t>ORD1003</t>
  </si>
  <si>
    <t>Mouse</t>
  </si>
  <si>
    <t>Technology</t>
  </si>
  <si>
    <t>ORD1005</t>
  </si>
  <si>
    <t>Notebook</t>
  </si>
  <si>
    <t>Office Supplies</t>
  </si>
  <si>
    <t>Desk Lamp</t>
  </si>
  <si>
    <t>Furniture</t>
  </si>
  <si>
    <t>Bookshelf</t>
  </si>
  <si>
    <t>ORD1007</t>
  </si>
  <si>
    <t>Printer</t>
  </si>
  <si>
    <t>ORD1006</t>
  </si>
  <si>
    <t>Stapler</t>
  </si>
  <si>
    <t>ORD1008</t>
  </si>
  <si>
    <t>Monitor</t>
  </si>
  <si>
    <t>Laptop</t>
  </si>
  <si>
    <t>USB Drive</t>
  </si>
  <si>
    <t>ORD1010</t>
  </si>
  <si>
    <t>ORD1009</t>
  </si>
  <si>
    <t>Headphones</t>
  </si>
  <si>
    <t>ORD1002</t>
  </si>
  <si>
    <t>ORD1004</t>
  </si>
  <si>
    <t>Desk</t>
  </si>
  <si>
    <t>ORD1001</t>
  </si>
  <si>
    <t>C002</t>
  </si>
  <si>
    <t>Priya Patel</t>
  </si>
  <si>
    <t>ORD1011</t>
  </si>
  <si>
    <t>Pen Set</t>
  </si>
  <si>
    <t>ORD1018</t>
  </si>
  <si>
    <t>ORD1013</t>
  </si>
  <si>
    <t>ORD1016</t>
  </si>
  <si>
    <t>ORD1014</t>
  </si>
  <si>
    <t>ORD1012</t>
  </si>
  <si>
    <t>ORD1015</t>
  </si>
  <si>
    <t>Office Chair</t>
  </si>
  <si>
    <t>Keyboard</t>
  </si>
  <si>
    <t>ORD1017</t>
  </si>
  <si>
    <t>C003</t>
  </si>
  <si>
    <t>Rahul Verma</t>
  </si>
  <si>
    <t>ORD1023</t>
  </si>
  <si>
    <t>ORD1019</t>
  </si>
  <si>
    <t>ORD1025</t>
  </si>
  <si>
    <t>ORD1020</t>
  </si>
  <si>
    <t>ORD1022</t>
  </si>
  <si>
    <t>ORD1024</t>
  </si>
  <si>
    <t>ORD1021</t>
  </si>
  <si>
    <t>C004</t>
  </si>
  <si>
    <t>Sneha Joshi</t>
  </si>
  <si>
    <t>ORD1030</t>
  </si>
  <si>
    <t>ORD1028</t>
  </si>
  <si>
    <t>ORD1031</t>
  </si>
  <si>
    <t>ORD1027</t>
  </si>
  <si>
    <t>ORD1029</t>
  </si>
  <si>
    <t>ORD1026</t>
  </si>
  <si>
    <t>C005</t>
  </si>
  <si>
    <t>Vikram Singh</t>
  </si>
  <si>
    <t>ORD1034</t>
  </si>
  <si>
    <t>ORD1037</t>
  </si>
  <si>
    <t>ORD1035</t>
  </si>
  <si>
    <t>ORD1032</t>
  </si>
  <si>
    <t>ORD1036</t>
  </si>
  <si>
    <t>ORD1033</t>
  </si>
  <si>
    <t>C006</t>
  </si>
  <si>
    <t>Ananya Desai</t>
  </si>
  <si>
    <t>ORD1040</t>
  </si>
  <si>
    <t>ORD1038</t>
  </si>
  <si>
    <t>ORD1042</t>
  </si>
  <si>
    <t>File Folder</t>
  </si>
  <si>
    <t>ORD1041</t>
  </si>
  <si>
    <t>ORD1039</t>
  </si>
  <si>
    <t>C007</t>
  </si>
  <si>
    <t>Rohan Mehta</t>
  </si>
  <si>
    <t>ORD1047</t>
  </si>
  <si>
    <t>ORD1043</t>
  </si>
  <si>
    <t>ORD1044</t>
  </si>
  <si>
    <t>ORD1046</t>
  </si>
  <si>
    <t>ORD1045</t>
  </si>
  <si>
    <t>C008</t>
  </si>
  <si>
    <t>Neha Kulkarni</t>
  </si>
  <si>
    <t>ORD1048</t>
  </si>
  <si>
    <t>ORD1049</t>
  </si>
  <si>
    <t>ORD1050</t>
  </si>
  <si>
    <t>ORD1051</t>
  </si>
  <si>
    <t>C009</t>
  </si>
  <si>
    <t>Karan Shah</t>
  </si>
  <si>
    <t>ORD1052</t>
  </si>
  <si>
    <t>ORD1054</t>
  </si>
  <si>
    <t>ORD1053</t>
  </si>
  <si>
    <t>ORD1055</t>
  </si>
  <si>
    <t>C010</t>
  </si>
  <si>
    <t>Pooja Nair</t>
  </si>
  <si>
    <t>ORD1057</t>
  </si>
  <si>
    <t>ORD1058</t>
  </si>
  <si>
    <t>ORD1056</t>
  </si>
  <si>
    <t>C011</t>
  </si>
  <si>
    <t>Aditya Rao</t>
  </si>
  <si>
    <t>ORD1060</t>
  </si>
  <si>
    <t>ORD1061</t>
  </si>
  <si>
    <t>ORD1059</t>
  </si>
  <si>
    <t>C012</t>
  </si>
  <si>
    <t>Isha Gupta</t>
  </si>
  <si>
    <t>ORD1062</t>
  </si>
  <si>
    <t>ORD1063</t>
  </si>
  <si>
    <t>C013</t>
  </si>
  <si>
    <t>Manish Kumar</t>
  </si>
  <si>
    <t>ORD1064</t>
  </si>
  <si>
    <t>ORD1065</t>
  </si>
  <si>
    <t>C014</t>
  </si>
  <si>
    <t>Kavya Iyer</t>
  </si>
  <si>
    <t>ORD1066</t>
  </si>
  <si>
    <t>ORD1067</t>
  </si>
  <si>
    <t>C015</t>
  </si>
  <si>
    <t>Sahil Patil</t>
  </si>
  <si>
    <t>ORD1068</t>
  </si>
  <si>
    <t>Rank</t>
  </si>
  <si>
    <t>Order_Count</t>
  </si>
  <si>
    <t>Total Customers</t>
  </si>
  <si>
    <t>Total Unique Orders</t>
  </si>
  <si>
    <t>Highest Orders by One Customer</t>
  </si>
  <si>
    <t>Average Orders per Customer</t>
  </si>
  <si>
    <t>Customer Order Count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</si>
</sst>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5" fillId="2" borderId="0" xfId="0" applyFont="1" applyFill="1"/>
    <xf numFmtId="0" fontId="0" fillId="2" borderId="0" xfId="0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0" fillId="3" borderId="6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5" xfId="0" applyFill="1" applyBorder="1"/>
    <xf numFmtId="0" fontId="3" fillId="3" borderId="2" xfId="0" applyFont="1" applyFill="1" applyBorder="1" applyAlignment="1">
      <alignment vertical="center"/>
    </xf>
    <xf numFmtId="0" fontId="4" fillId="3" borderId="6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7" xfId="0" applyFont="1" applyFill="1" applyBorder="1"/>
    <xf numFmtId="0" fontId="4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Customers by Order Count</a:t>
            </a:r>
          </a:p>
        </c:rich>
      </c:tx>
      <c:layout>
        <c:manualLayout>
          <c:xMode val="edge"/>
          <c:yMode val="edge"/>
          <c:x val="0.131145669291338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Top_10_Customers!$D$1</c:f>
              <c:strCache>
                <c:ptCount val="1"/>
                <c:pt idx="0">
                  <c:v>Order_Count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Top_10_Customers!$C$2:$C$11</c:f>
              <c:strCache>
                <c:ptCount val="10"/>
                <c:pt idx="0">
                  <c:v>Aarav Sharma</c:v>
                </c:pt>
                <c:pt idx="1">
                  <c:v>Priya Patel</c:v>
                </c:pt>
                <c:pt idx="2">
                  <c:v>Rahul Verma</c:v>
                </c:pt>
                <c:pt idx="3">
                  <c:v>Sneha Joshi</c:v>
                </c:pt>
                <c:pt idx="4">
                  <c:v>Vikram Singh</c:v>
                </c:pt>
                <c:pt idx="5">
                  <c:v>Ananya Desai</c:v>
                </c:pt>
                <c:pt idx="6">
                  <c:v>Rohan Mehta</c:v>
                </c:pt>
                <c:pt idx="7">
                  <c:v>Neha Kulkarni</c:v>
                </c:pt>
                <c:pt idx="8">
                  <c:v>Karan Shah</c:v>
                </c:pt>
                <c:pt idx="9">
                  <c:v>Pooja Nair</c:v>
                </c:pt>
              </c:strCache>
            </c:strRef>
          </c:cat>
          <c:val>
            <c:numRef>
              <c:f>Top_10_Customers!$D$2:$D$11</c:f>
              <c:numCache>
                <c:formatCode>General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D-485B-B32C-FEABDFAE8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105588096"/>
        <c:axId val="2014067664"/>
      </c:barChart>
      <c:catAx>
        <c:axId val="2105588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67664"/>
        <c:crosses val="autoZero"/>
        <c:auto val="1"/>
        <c:lblAlgn val="ctr"/>
        <c:lblOffset val="100"/>
        <c:noMultiLvlLbl val="0"/>
      </c:catAx>
      <c:valAx>
        <c:axId val="2014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</a:t>
                </a:r>
                <a:r>
                  <a:rPr lang="en-IN" baseline="0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8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11</xdr:row>
      <xdr:rowOff>106680</xdr:rowOff>
    </xdr:from>
    <xdr:to>
      <xdr:col>14</xdr:col>
      <xdr:colOff>236220</xdr:colOff>
      <xdr:row>26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1A31B-E7AD-4F6D-8859-ECBBA6C60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workbookViewId="0">
      <selection activeCell="D28" sqref="D28"/>
    </sheetView>
  </sheetViews>
  <sheetFormatPr defaultRowHeight="14.4" x14ac:dyDescent="0.3"/>
  <cols>
    <col min="1" max="1" width="9.6640625" customWidth="1"/>
    <col min="2" max="2" width="13" customWidth="1"/>
    <col min="4" max="4" width="16.77734375" customWidth="1"/>
    <col min="5" max="5" width="14.88671875" customWidth="1"/>
    <col min="6" max="6" width="13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45696</v>
      </c>
      <c r="E2" t="s">
        <v>11</v>
      </c>
      <c r="F2" t="s">
        <v>12</v>
      </c>
      <c r="G2">
        <v>2686.17</v>
      </c>
      <c r="H2">
        <v>3</v>
      </c>
    </row>
    <row r="3" spans="1:8" x14ac:dyDescent="0.3">
      <c r="A3" t="s">
        <v>8</v>
      </c>
      <c r="B3" t="s">
        <v>9</v>
      </c>
      <c r="C3" t="s">
        <v>13</v>
      </c>
      <c r="D3" s="2">
        <v>45705</v>
      </c>
      <c r="E3" t="s">
        <v>14</v>
      </c>
      <c r="F3" t="s">
        <v>15</v>
      </c>
      <c r="G3">
        <v>916.28</v>
      </c>
      <c r="H3">
        <v>4</v>
      </c>
    </row>
    <row r="4" spans="1:8" x14ac:dyDescent="0.3">
      <c r="A4" t="s">
        <v>8</v>
      </c>
      <c r="B4" t="s">
        <v>9</v>
      </c>
      <c r="C4" t="s">
        <v>13</v>
      </c>
      <c r="D4" s="2">
        <v>45705</v>
      </c>
      <c r="E4" t="s">
        <v>16</v>
      </c>
      <c r="F4" t="s">
        <v>17</v>
      </c>
      <c r="G4">
        <v>8536.75</v>
      </c>
      <c r="H4">
        <v>5</v>
      </c>
    </row>
    <row r="5" spans="1:8" x14ac:dyDescent="0.3">
      <c r="A5" t="s">
        <v>8</v>
      </c>
      <c r="B5" t="s">
        <v>9</v>
      </c>
      <c r="C5" t="s">
        <v>13</v>
      </c>
      <c r="D5" s="2">
        <v>45705</v>
      </c>
      <c r="E5" t="s">
        <v>18</v>
      </c>
      <c r="F5" t="s">
        <v>17</v>
      </c>
      <c r="G5">
        <v>12864.66</v>
      </c>
      <c r="H5">
        <v>2</v>
      </c>
    </row>
    <row r="6" spans="1:8" x14ac:dyDescent="0.3">
      <c r="A6" t="s">
        <v>8</v>
      </c>
      <c r="B6" t="s">
        <v>9</v>
      </c>
      <c r="C6" t="s">
        <v>19</v>
      </c>
      <c r="D6" s="2">
        <v>45718</v>
      </c>
      <c r="E6" t="s">
        <v>20</v>
      </c>
      <c r="F6" t="s">
        <v>12</v>
      </c>
      <c r="G6">
        <v>32154.68</v>
      </c>
      <c r="H6">
        <v>2</v>
      </c>
    </row>
    <row r="7" spans="1:8" x14ac:dyDescent="0.3">
      <c r="A7" t="s">
        <v>8</v>
      </c>
      <c r="B7" t="s">
        <v>9</v>
      </c>
      <c r="C7" t="s">
        <v>21</v>
      </c>
      <c r="D7" s="2">
        <v>45755</v>
      </c>
      <c r="E7" t="s">
        <v>22</v>
      </c>
      <c r="F7" t="s">
        <v>15</v>
      </c>
      <c r="G7">
        <v>1009.05</v>
      </c>
      <c r="H7">
        <v>3</v>
      </c>
    </row>
    <row r="8" spans="1:8" x14ac:dyDescent="0.3">
      <c r="A8" t="s">
        <v>8</v>
      </c>
      <c r="B8" t="s">
        <v>9</v>
      </c>
      <c r="C8" t="s">
        <v>21</v>
      </c>
      <c r="D8" s="2">
        <v>45755</v>
      </c>
      <c r="E8" t="s">
        <v>16</v>
      </c>
      <c r="F8" t="s">
        <v>17</v>
      </c>
      <c r="G8">
        <v>5036.43</v>
      </c>
      <c r="H8">
        <v>3</v>
      </c>
    </row>
    <row r="9" spans="1:8" x14ac:dyDescent="0.3">
      <c r="A9" t="s">
        <v>8</v>
      </c>
      <c r="B9" t="s">
        <v>9</v>
      </c>
      <c r="C9" t="s">
        <v>23</v>
      </c>
      <c r="D9" s="2">
        <v>45770</v>
      </c>
      <c r="E9" t="s">
        <v>24</v>
      </c>
      <c r="F9" t="s">
        <v>12</v>
      </c>
      <c r="G9">
        <v>60009.35</v>
      </c>
      <c r="H9">
        <v>5</v>
      </c>
    </row>
    <row r="10" spans="1:8" x14ac:dyDescent="0.3">
      <c r="A10" t="s">
        <v>8</v>
      </c>
      <c r="B10" t="s">
        <v>9</v>
      </c>
      <c r="C10" t="s">
        <v>23</v>
      </c>
      <c r="D10" s="2">
        <v>45770</v>
      </c>
      <c r="E10" t="s">
        <v>25</v>
      </c>
      <c r="F10" t="s">
        <v>12</v>
      </c>
      <c r="G10">
        <v>114285.16</v>
      </c>
      <c r="H10">
        <v>2</v>
      </c>
    </row>
    <row r="11" spans="1:8" x14ac:dyDescent="0.3">
      <c r="A11" t="s">
        <v>8</v>
      </c>
      <c r="B11" t="s">
        <v>9</v>
      </c>
      <c r="C11" t="s">
        <v>23</v>
      </c>
      <c r="D11" s="2">
        <v>45770</v>
      </c>
      <c r="E11" t="s">
        <v>26</v>
      </c>
      <c r="F11" t="s">
        <v>12</v>
      </c>
      <c r="G11">
        <v>3365.82</v>
      </c>
      <c r="H11">
        <v>3</v>
      </c>
    </row>
    <row r="12" spans="1:8" x14ac:dyDescent="0.3">
      <c r="A12" t="s">
        <v>8</v>
      </c>
      <c r="B12" t="s">
        <v>9</v>
      </c>
      <c r="C12" t="s">
        <v>27</v>
      </c>
      <c r="D12" s="2">
        <v>45879</v>
      </c>
      <c r="E12" t="s">
        <v>11</v>
      </c>
      <c r="F12" t="s">
        <v>12</v>
      </c>
      <c r="G12">
        <v>3908.76</v>
      </c>
      <c r="H12">
        <v>4</v>
      </c>
    </row>
    <row r="13" spans="1:8" x14ac:dyDescent="0.3">
      <c r="A13" t="s">
        <v>8</v>
      </c>
      <c r="B13" t="s">
        <v>9</v>
      </c>
      <c r="C13" t="s">
        <v>28</v>
      </c>
      <c r="D13" s="2">
        <v>45887</v>
      </c>
      <c r="E13" t="s">
        <v>29</v>
      </c>
      <c r="F13" t="s">
        <v>12</v>
      </c>
      <c r="G13">
        <v>6673.5</v>
      </c>
      <c r="H13">
        <v>3</v>
      </c>
    </row>
    <row r="14" spans="1:8" x14ac:dyDescent="0.3">
      <c r="A14" t="s">
        <v>8</v>
      </c>
      <c r="B14" t="s">
        <v>9</v>
      </c>
      <c r="C14" t="s">
        <v>30</v>
      </c>
      <c r="D14" s="2">
        <v>45951</v>
      </c>
      <c r="E14" t="s">
        <v>25</v>
      </c>
      <c r="F14" t="s">
        <v>12</v>
      </c>
      <c r="G14">
        <v>215896.56</v>
      </c>
      <c r="H14">
        <v>4</v>
      </c>
    </row>
    <row r="15" spans="1:8" x14ac:dyDescent="0.3">
      <c r="A15" t="s">
        <v>8</v>
      </c>
      <c r="B15" t="s">
        <v>9</v>
      </c>
      <c r="C15" t="s">
        <v>31</v>
      </c>
      <c r="D15" s="2">
        <v>45955</v>
      </c>
      <c r="E15" t="s">
        <v>32</v>
      </c>
      <c r="F15" t="s">
        <v>17</v>
      </c>
      <c r="G15">
        <v>23121.14</v>
      </c>
      <c r="H15">
        <v>2</v>
      </c>
    </row>
    <row r="16" spans="1:8" x14ac:dyDescent="0.3">
      <c r="A16" t="s">
        <v>8</v>
      </c>
      <c r="B16" t="s">
        <v>9</v>
      </c>
      <c r="C16" t="s">
        <v>31</v>
      </c>
      <c r="D16" s="2">
        <v>45955</v>
      </c>
      <c r="E16" t="s">
        <v>24</v>
      </c>
      <c r="F16" t="s">
        <v>12</v>
      </c>
      <c r="G16">
        <v>36215.550000000003</v>
      </c>
      <c r="H16">
        <v>3</v>
      </c>
    </row>
    <row r="17" spans="1:8" x14ac:dyDescent="0.3">
      <c r="A17" t="s">
        <v>8</v>
      </c>
      <c r="B17" t="s">
        <v>9</v>
      </c>
      <c r="C17" t="s">
        <v>33</v>
      </c>
      <c r="D17" s="2">
        <v>46009</v>
      </c>
      <c r="E17" t="s">
        <v>20</v>
      </c>
      <c r="F17" t="s">
        <v>12</v>
      </c>
      <c r="G17">
        <v>16116.39</v>
      </c>
      <c r="H17">
        <v>1</v>
      </c>
    </row>
    <row r="18" spans="1:8" x14ac:dyDescent="0.3">
      <c r="A18" t="s">
        <v>34</v>
      </c>
      <c r="B18" t="s">
        <v>35</v>
      </c>
      <c r="C18" t="s">
        <v>36</v>
      </c>
      <c r="D18" s="2">
        <v>45719</v>
      </c>
      <c r="E18" t="s">
        <v>11</v>
      </c>
      <c r="F18" t="s">
        <v>12</v>
      </c>
      <c r="G18">
        <v>3488.24</v>
      </c>
      <c r="H18">
        <v>4</v>
      </c>
    </row>
    <row r="19" spans="1:8" x14ac:dyDescent="0.3">
      <c r="A19" t="s">
        <v>34</v>
      </c>
      <c r="B19" t="s">
        <v>35</v>
      </c>
      <c r="C19" t="s">
        <v>36</v>
      </c>
      <c r="D19" s="2">
        <v>45719</v>
      </c>
      <c r="E19" t="s">
        <v>16</v>
      </c>
      <c r="F19" t="s">
        <v>17</v>
      </c>
      <c r="G19">
        <v>1946.45</v>
      </c>
      <c r="H19">
        <v>1</v>
      </c>
    </row>
    <row r="20" spans="1:8" x14ac:dyDescent="0.3">
      <c r="A20" t="s">
        <v>34</v>
      </c>
      <c r="B20" t="s">
        <v>35</v>
      </c>
      <c r="C20" t="s">
        <v>36</v>
      </c>
      <c r="D20" s="2">
        <v>45719</v>
      </c>
      <c r="E20" t="s">
        <v>37</v>
      </c>
      <c r="F20" t="s">
        <v>15</v>
      </c>
      <c r="G20">
        <v>180.7</v>
      </c>
      <c r="H20">
        <v>1</v>
      </c>
    </row>
    <row r="21" spans="1:8" x14ac:dyDescent="0.3">
      <c r="A21" t="s">
        <v>34</v>
      </c>
      <c r="B21" t="s">
        <v>35</v>
      </c>
      <c r="C21" t="s">
        <v>38</v>
      </c>
      <c r="D21" s="2">
        <v>45773</v>
      </c>
      <c r="E21" t="s">
        <v>20</v>
      </c>
      <c r="F21" t="s">
        <v>12</v>
      </c>
      <c r="G21">
        <v>30330.14</v>
      </c>
      <c r="H21">
        <v>2</v>
      </c>
    </row>
    <row r="22" spans="1:8" x14ac:dyDescent="0.3">
      <c r="A22" t="s">
        <v>34</v>
      </c>
      <c r="B22" t="s">
        <v>35</v>
      </c>
      <c r="C22" t="s">
        <v>39</v>
      </c>
      <c r="D22" s="2">
        <v>45808</v>
      </c>
      <c r="E22" t="s">
        <v>16</v>
      </c>
      <c r="F22" t="s">
        <v>17</v>
      </c>
      <c r="G22">
        <v>5586.06</v>
      </c>
      <c r="H22">
        <v>3</v>
      </c>
    </row>
    <row r="23" spans="1:8" x14ac:dyDescent="0.3">
      <c r="A23" t="s">
        <v>34</v>
      </c>
      <c r="B23" t="s">
        <v>35</v>
      </c>
      <c r="C23" t="s">
        <v>40</v>
      </c>
      <c r="D23" s="2">
        <v>45812</v>
      </c>
      <c r="E23" t="s">
        <v>25</v>
      </c>
      <c r="F23" t="s">
        <v>12</v>
      </c>
      <c r="G23">
        <v>103832</v>
      </c>
      <c r="H23">
        <v>2</v>
      </c>
    </row>
    <row r="24" spans="1:8" x14ac:dyDescent="0.3">
      <c r="A24" t="s">
        <v>34</v>
      </c>
      <c r="B24" t="s">
        <v>35</v>
      </c>
      <c r="C24" t="s">
        <v>40</v>
      </c>
      <c r="D24" s="2">
        <v>45812</v>
      </c>
      <c r="E24" t="s">
        <v>16</v>
      </c>
      <c r="F24" t="s">
        <v>17</v>
      </c>
      <c r="G24">
        <v>9361.4</v>
      </c>
      <c r="H24">
        <v>5</v>
      </c>
    </row>
    <row r="25" spans="1:8" x14ac:dyDescent="0.3">
      <c r="A25" t="s">
        <v>34</v>
      </c>
      <c r="B25" t="s">
        <v>35</v>
      </c>
      <c r="C25" t="s">
        <v>40</v>
      </c>
      <c r="D25" s="2">
        <v>45812</v>
      </c>
      <c r="E25" t="s">
        <v>29</v>
      </c>
      <c r="F25" t="s">
        <v>12</v>
      </c>
      <c r="G25">
        <v>3980.94</v>
      </c>
      <c r="H25">
        <v>2</v>
      </c>
    </row>
    <row r="26" spans="1:8" x14ac:dyDescent="0.3">
      <c r="A26" t="s">
        <v>34</v>
      </c>
      <c r="B26" t="s">
        <v>35</v>
      </c>
      <c r="C26" t="s">
        <v>41</v>
      </c>
      <c r="D26" s="2">
        <v>45863</v>
      </c>
      <c r="E26" t="s">
        <v>14</v>
      </c>
      <c r="F26" t="s">
        <v>15</v>
      </c>
      <c r="G26">
        <v>266.79000000000002</v>
      </c>
      <c r="H26">
        <v>1</v>
      </c>
    </row>
    <row r="27" spans="1:8" x14ac:dyDescent="0.3">
      <c r="A27" t="s">
        <v>34</v>
      </c>
      <c r="B27" t="s">
        <v>35</v>
      </c>
      <c r="C27" t="s">
        <v>41</v>
      </c>
      <c r="D27" s="2">
        <v>45863</v>
      </c>
      <c r="E27" t="s">
        <v>16</v>
      </c>
      <c r="F27" t="s">
        <v>17</v>
      </c>
      <c r="G27">
        <v>3324.64</v>
      </c>
      <c r="H27">
        <v>2</v>
      </c>
    </row>
    <row r="28" spans="1:8" x14ac:dyDescent="0.3">
      <c r="A28" t="s">
        <v>34</v>
      </c>
      <c r="B28" t="s">
        <v>35</v>
      </c>
      <c r="C28" t="s">
        <v>42</v>
      </c>
      <c r="D28" s="2">
        <v>45881</v>
      </c>
      <c r="E28" t="s">
        <v>11</v>
      </c>
      <c r="F28" t="s">
        <v>12</v>
      </c>
      <c r="G28">
        <v>830.67</v>
      </c>
      <c r="H28">
        <v>1</v>
      </c>
    </row>
    <row r="29" spans="1:8" x14ac:dyDescent="0.3">
      <c r="A29" t="s">
        <v>34</v>
      </c>
      <c r="B29" t="s">
        <v>35</v>
      </c>
      <c r="C29" t="s">
        <v>43</v>
      </c>
      <c r="D29" s="2">
        <v>45891</v>
      </c>
      <c r="E29" t="s">
        <v>44</v>
      </c>
      <c r="F29" t="s">
        <v>17</v>
      </c>
      <c r="G29">
        <v>44601.55</v>
      </c>
      <c r="H29">
        <v>5</v>
      </c>
    </row>
    <row r="30" spans="1:8" x14ac:dyDescent="0.3">
      <c r="A30" t="s">
        <v>34</v>
      </c>
      <c r="B30" t="s">
        <v>35</v>
      </c>
      <c r="C30" t="s">
        <v>43</v>
      </c>
      <c r="D30" s="2">
        <v>45891</v>
      </c>
      <c r="E30" t="s">
        <v>25</v>
      </c>
      <c r="F30" t="s">
        <v>12</v>
      </c>
      <c r="G30">
        <v>53160.59</v>
      </c>
      <c r="H30">
        <v>1</v>
      </c>
    </row>
    <row r="31" spans="1:8" x14ac:dyDescent="0.3">
      <c r="A31" t="s">
        <v>34</v>
      </c>
      <c r="B31" t="s">
        <v>35</v>
      </c>
      <c r="C31" t="s">
        <v>43</v>
      </c>
      <c r="D31" s="2">
        <v>45891</v>
      </c>
      <c r="E31" t="s">
        <v>45</v>
      </c>
      <c r="F31" t="s">
        <v>12</v>
      </c>
      <c r="G31">
        <v>1964.23</v>
      </c>
      <c r="H31">
        <v>1</v>
      </c>
    </row>
    <row r="32" spans="1:8" x14ac:dyDescent="0.3">
      <c r="A32" t="s">
        <v>34</v>
      </c>
      <c r="B32" t="s">
        <v>35</v>
      </c>
      <c r="C32" t="s">
        <v>46</v>
      </c>
      <c r="D32" s="2">
        <v>45999</v>
      </c>
      <c r="E32" t="s">
        <v>14</v>
      </c>
      <c r="F32" t="s">
        <v>15</v>
      </c>
      <c r="G32">
        <v>491.9</v>
      </c>
      <c r="H32">
        <v>2</v>
      </c>
    </row>
    <row r="33" spans="1:8" x14ac:dyDescent="0.3">
      <c r="A33" t="s">
        <v>34</v>
      </c>
      <c r="B33" t="s">
        <v>35</v>
      </c>
      <c r="C33" t="s">
        <v>46</v>
      </c>
      <c r="D33" s="2">
        <v>45999</v>
      </c>
      <c r="E33" t="s">
        <v>11</v>
      </c>
      <c r="F33" t="s">
        <v>12</v>
      </c>
      <c r="G33">
        <v>879.85</v>
      </c>
      <c r="H33">
        <v>1</v>
      </c>
    </row>
    <row r="34" spans="1:8" x14ac:dyDescent="0.3">
      <c r="A34" t="s">
        <v>34</v>
      </c>
      <c r="B34" t="s">
        <v>35</v>
      </c>
      <c r="C34" t="s">
        <v>46</v>
      </c>
      <c r="D34" s="2">
        <v>45999</v>
      </c>
      <c r="E34" t="s">
        <v>20</v>
      </c>
      <c r="F34" t="s">
        <v>12</v>
      </c>
      <c r="G34">
        <v>28438.82</v>
      </c>
      <c r="H34">
        <v>2</v>
      </c>
    </row>
    <row r="35" spans="1:8" x14ac:dyDescent="0.3">
      <c r="A35" t="s">
        <v>47</v>
      </c>
      <c r="B35" t="s">
        <v>48</v>
      </c>
      <c r="C35" t="s">
        <v>49</v>
      </c>
      <c r="D35" s="2">
        <v>45663</v>
      </c>
      <c r="E35" t="s">
        <v>22</v>
      </c>
      <c r="F35" t="s">
        <v>15</v>
      </c>
      <c r="G35">
        <v>1792.85</v>
      </c>
      <c r="H35">
        <v>5</v>
      </c>
    </row>
    <row r="36" spans="1:8" x14ac:dyDescent="0.3">
      <c r="A36" t="s">
        <v>47</v>
      </c>
      <c r="B36" t="s">
        <v>48</v>
      </c>
      <c r="C36" t="s">
        <v>49</v>
      </c>
      <c r="D36" s="2">
        <v>45663</v>
      </c>
      <c r="E36" t="s">
        <v>14</v>
      </c>
      <c r="F36" t="s">
        <v>15</v>
      </c>
      <c r="G36">
        <v>782.22</v>
      </c>
      <c r="H36">
        <v>3</v>
      </c>
    </row>
    <row r="37" spans="1:8" x14ac:dyDescent="0.3">
      <c r="A37" t="s">
        <v>47</v>
      </c>
      <c r="B37" t="s">
        <v>48</v>
      </c>
      <c r="C37" t="s">
        <v>49</v>
      </c>
      <c r="D37" s="2">
        <v>45663</v>
      </c>
      <c r="E37" t="s">
        <v>45</v>
      </c>
      <c r="F37" t="s">
        <v>12</v>
      </c>
      <c r="G37">
        <v>3439.88</v>
      </c>
      <c r="H37">
        <v>2</v>
      </c>
    </row>
    <row r="38" spans="1:8" x14ac:dyDescent="0.3">
      <c r="A38" t="s">
        <v>47</v>
      </c>
      <c r="B38" t="s">
        <v>48</v>
      </c>
      <c r="C38" t="s">
        <v>50</v>
      </c>
      <c r="D38" s="2">
        <v>45729</v>
      </c>
      <c r="E38" t="s">
        <v>45</v>
      </c>
      <c r="F38" t="s">
        <v>12</v>
      </c>
      <c r="G38">
        <v>1684.36</v>
      </c>
      <c r="H38">
        <v>1</v>
      </c>
    </row>
    <row r="39" spans="1:8" x14ac:dyDescent="0.3">
      <c r="A39" t="s">
        <v>47</v>
      </c>
      <c r="B39" t="s">
        <v>48</v>
      </c>
      <c r="C39" t="s">
        <v>50</v>
      </c>
      <c r="D39" s="2">
        <v>45729</v>
      </c>
      <c r="E39" t="s">
        <v>18</v>
      </c>
      <c r="F39" t="s">
        <v>17</v>
      </c>
      <c r="G39">
        <v>20601.3</v>
      </c>
      <c r="H39">
        <v>3</v>
      </c>
    </row>
    <row r="40" spans="1:8" x14ac:dyDescent="0.3">
      <c r="A40" t="s">
        <v>47</v>
      </c>
      <c r="B40" t="s">
        <v>48</v>
      </c>
      <c r="C40" t="s">
        <v>50</v>
      </c>
      <c r="D40" s="2">
        <v>45729</v>
      </c>
      <c r="E40" t="s">
        <v>26</v>
      </c>
      <c r="F40" t="s">
        <v>12</v>
      </c>
      <c r="G40">
        <v>1189.94</v>
      </c>
      <c r="H40">
        <v>1</v>
      </c>
    </row>
    <row r="41" spans="1:8" x14ac:dyDescent="0.3">
      <c r="A41" t="s">
        <v>47</v>
      </c>
      <c r="B41" t="s">
        <v>48</v>
      </c>
      <c r="C41" t="s">
        <v>51</v>
      </c>
      <c r="D41" s="2">
        <v>45763</v>
      </c>
      <c r="E41" t="s">
        <v>32</v>
      </c>
      <c r="F41" t="s">
        <v>17</v>
      </c>
      <c r="G41">
        <v>12197.43</v>
      </c>
      <c r="H41">
        <v>1</v>
      </c>
    </row>
    <row r="42" spans="1:8" x14ac:dyDescent="0.3">
      <c r="A42" t="s">
        <v>47</v>
      </c>
      <c r="B42" t="s">
        <v>48</v>
      </c>
      <c r="C42" t="s">
        <v>51</v>
      </c>
      <c r="D42" s="2">
        <v>45763</v>
      </c>
      <c r="E42" t="s">
        <v>22</v>
      </c>
      <c r="F42" t="s">
        <v>15</v>
      </c>
      <c r="G42">
        <v>1110.81</v>
      </c>
      <c r="H42">
        <v>3</v>
      </c>
    </row>
    <row r="43" spans="1:8" x14ac:dyDescent="0.3">
      <c r="A43" t="s">
        <v>47</v>
      </c>
      <c r="B43" t="s">
        <v>48</v>
      </c>
      <c r="C43" t="s">
        <v>51</v>
      </c>
      <c r="D43" s="2">
        <v>45763</v>
      </c>
      <c r="E43" t="s">
        <v>37</v>
      </c>
      <c r="F43" t="s">
        <v>15</v>
      </c>
      <c r="G43">
        <v>655.20000000000005</v>
      </c>
      <c r="H43">
        <v>4</v>
      </c>
    </row>
    <row r="44" spans="1:8" x14ac:dyDescent="0.3">
      <c r="A44" t="s">
        <v>47</v>
      </c>
      <c r="B44" t="s">
        <v>48</v>
      </c>
      <c r="C44" t="s">
        <v>52</v>
      </c>
      <c r="D44" s="2">
        <v>45809</v>
      </c>
      <c r="E44" t="s">
        <v>44</v>
      </c>
      <c r="F44" t="s">
        <v>17</v>
      </c>
      <c r="G44">
        <v>40784.9</v>
      </c>
      <c r="H44">
        <v>5</v>
      </c>
    </row>
    <row r="45" spans="1:8" x14ac:dyDescent="0.3">
      <c r="A45" t="s">
        <v>47</v>
      </c>
      <c r="B45" t="s">
        <v>48</v>
      </c>
      <c r="C45" t="s">
        <v>53</v>
      </c>
      <c r="D45" s="2">
        <v>45894</v>
      </c>
      <c r="E45" t="s">
        <v>45</v>
      </c>
      <c r="F45" t="s">
        <v>12</v>
      </c>
      <c r="G45">
        <v>8944.75</v>
      </c>
      <c r="H45">
        <v>5</v>
      </c>
    </row>
    <row r="46" spans="1:8" x14ac:dyDescent="0.3">
      <c r="A46" t="s">
        <v>47</v>
      </c>
      <c r="B46" t="s">
        <v>48</v>
      </c>
      <c r="C46" t="s">
        <v>54</v>
      </c>
      <c r="D46" s="2">
        <v>45969</v>
      </c>
      <c r="E46" t="s">
        <v>25</v>
      </c>
      <c r="F46" t="s">
        <v>12</v>
      </c>
      <c r="G46">
        <v>51824.45</v>
      </c>
      <c r="H46">
        <v>1</v>
      </c>
    </row>
    <row r="47" spans="1:8" x14ac:dyDescent="0.3">
      <c r="A47" t="s">
        <v>47</v>
      </c>
      <c r="B47" t="s">
        <v>48</v>
      </c>
      <c r="C47" t="s">
        <v>55</v>
      </c>
      <c r="D47" s="2">
        <v>46004</v>
      </c>
      <c r="E47" t="s">
        <v>45</v>
      </c>
      <c r="F47" t="s">
        <v>12</v>
      </c>
      <c r="G47">
        <v>1936.27</v>
      </c>
      <c r="H47">
        <v>1</v>
      </c>
    </row>
    <row r="48" spans="1:8" x14ac:dyDescent="0.3">
      <c r="A48" t="s">
        <v>47</v>
      </c>
      <c r="B48" t="s">
        <v>48</v>
      </c>
      <c r="C48" t="s">
        <v>55</v>
      </c>
      <c r="D48" s="2">
        <v>46004</v>
      </c>
      <c r="E48" t="s">
        <v>25</v>
      </c>
      <c r="F48" t="s">
        <v>12</v>
      </c>
      <c r="G48">
        <v>172770.84</v>
      </c>
      <c r="H48">
        <v>3</v>
      </c>
    </row>
    <row r="49" spans="1:8" x14ac:dyDescent="0.3">
      <c r="A49" t="s">
        <v>47</v>
      </c>
      <c r="B49" t="s">
        <v>48</v>
      </c>
      <c r="C49" t="s">
        <v>55</v>
      </c>
      <c r="D49" s="2">
        <v>46004</v>
      </c>
      <c r="E49" t="s">
        <v>20</v>
      </c>
      <c r="F49" t="s">
        <v>12</v>
      </c>
      <c r="G49">
        <v>44063.13</v>
      </c>
      <c r="H49">
        <v>3</v>
      </c>
    </row>
    <row r="50" spans="1:8" x14ac:dyDescent="0.3">
      <c r="A50" t="s">
        <v>56</v>
      </c>
      <c r="B50" t="s">
        <v>57</v>
      </c>
      <c r="C50" t="s">
        <v>58</v>
      </c>
      <c r="D50" s="2">
        <v>45846</v>
      </c>
      <c r="E50" t="s">
        <v>16</v>
      </c>
      <c r="F50" t="s">
        <v>17</v>
      </c>
      <c r="G50">
        <v>1791.73</v>
      </c>
      <c r="H50">
        <v>1</v>
      </c>
    </row>
    <row r="51" spans="1:8" x14ac:dyDescent="0.3">
      <c r="A51" t="s">
        <v>56</v>
      </c>
      <c r="B51" t="s">
        <v>57</v>
      </c>
      <c r="C51" t="s">
        <v>59</v>
      </c>
      <c r="D51" s="2">
        <v>45909</v>
      </c>
      <c r="E51" t="s">
        <v>24</v>
      </c>
      <c r="F51" t="s">
        <v>12</v>
      </c>
      <c r="G51">
        <v>23964.66</v>
      </c>
      <c r="H51">
        <v>2</v>
      </c>
    </row>
    <row r="52" spans="1:8" x14ac:dyDescent="0.3">
      <c r="A52" t="s">
        <v>56</v>
      </c>
      <c r="B52" t="s">
        <v>57</v>
      </c>
      <c r="C52" t="s">
        <v>59</v>
      </c>
      <c r="D52" s="2">
        <v>45909</v>
      </c>
      <c r="E52" t="s">
        <v>16</v>
      </c>
      <c r="F52" t="s">
        <v>17</v>
      </c>
      <c r="G52">
        <v>5270.58</v>
      </c>
      <c r="H52">
        <v>3</v>
      </c>
    </row>
    <row r="53" spans="1:8" x14ac:dyDescent="0.3">
      <c r="A53" t="s">
        <v>56</v>
      </c>
      <c r="B53" t="s">
        <v>57</v>
      </c>
      <c r="C53" t="s">
        <v>60</v>
      </c>
      <c r="D53" s="2">
        <v>45935</v>
      </c>
      <c r="E53" t="s">
        <v>20</v>
      </c>
      <c r="F53" t="s">
        <v>12</v>
      </c>
      <c r="G53">
        <v>13919.18</v>
      </c>
      <c r="H53">
        <v>1</v>
      </c>
    </row>
    <row r="54" spans="1:8" x14ac:dyDescent="0.3">
      <c r="A54" t="s">
        <v>56</v>
      </c>
      <c r="B54" t="s">
        <v>57</v>
      </c>
      <c r="C54" t="s">
        <v>61</v>
      </c>
      <c r="D54" s="2">
        <v>45945</v>
      </c>
      <c r="E54" t="s">
        <v>32</v>
      </c>
      <c r="F54" t="s">
        <v>17</v>
      </c>
      <c r="G54">
        <v>12721.62</v>
      </c>
      <c r="H54">
        <v>1</v>
      </c>
    </row>
    <row r="55" spans="1:8" x14ac:dyDescent="0.3">
      <c r="A55" t="s">
        <v>56</v>
      </c>
      <c r="B55" t="s">
        <v>57</v>
      </c>
      <c r="C55" t="s">
        <v>61</v>
      </c>
      <c r="D55" s="2">
        <v>45945</v>
      </c>
      <c r="E55" t="s">
        <v>20</v>
      </c>
      <c r="F55" t="s">
        <v>12</v>
      </c>
      <c r="G55">
        <v>55100.44</v>
      </c>
      <c r="H55">
        <v>4</v>
      </c>
    </row>
    <row r="56" spans="1:8" x14ac:dyDescent="0.3">
      <c r="A56" t="s">
        <v>56</v>
      </c>
      <c r="B56" t="s">
        <v>57</v>
      </c>
      <c r="C56" t="s">
        <v>62</v>
      </c>
      <c r="D56" s="2">
        <v>45977</v>
      </c>
      <c r="E56" t="s">
        <v>44</v>
      </c>
      <c r="F56" t="s">
        <v>17</v>
      </c>
      <c r="G56">
        <v>18623.84</v>
      </c>
      <c r="H56">
        <v>2</v>
      </c>
    </row>
    <row r="57" spans="1:8" x14ac:dyDescent="0.3">
      <c r="A57" t="s">
        <v>56</v>
      </c>
      <c r="B57" t="s">
        <v>57</v>
      </c>
      <c r="C57" t="s">
        <v>63</v>
      </c>
      <c r="D57" s="2">
        <v>45993</v>
      </c>
      <c r="E57" t="s">
        <v>29</v>
      </c>
      <c r="F57" t="s">
        <v>12</v>
      </c>
      <c r="G57">
        <v>10727.1</v>
      </c>
      <c r="H57">
        <v>5</v>
      </c>
    </row>
    <row r="58" spans="1:8" x14ac:dyDescent="0.3">
      <c r="A58" t="s">
        <v>64</v>
      </c>
      <c r="B58" t="s">
        <v>65</v>
      </c>
      <c r="C58" t="s">
        <v>66</v>
      </c>
      <c r="D58" s="2">
        <v>45700</v>
      </c>
      <c r="E58" t="s">
        <v>18</v>
      </c>
      <c r="F58" t="s">
        <v>17</v>
      </c>
      <c r="G58">
        <v>13902.32</v>
      </c>
      <c r="H58">
        <v>2</v>
      </c>
    </row>
    <row r="59" spans="1:8" x14ac:dyDescent="0.3">
      <c r="A59" t="s">
        <v>64</v>
      </c>
      <c r="B59" t="s">
        <v>65</v>
      </c>
      <c r="C59" t="s">
        <v>66</v>
      </c>
      <c r="D59" s="2">
        <v>45700</v>
      </c>
      <c r="E59" t="s">
        <v>20</v>
      </c>
      <c r="F59" t="s">
        <v>12</v>
      </c>
      <c r="G59">
        <v>29906.76</v>
      </c>
      <c r="H59">
        <v>2</v>
      </c>
    </row>
    <row r="60" spans="1:8" x14ac:dyDescent="0.3">
      <c r="A60" t="s">
        <v>64</v>
      </c>
      <c r="B60" t="s">
        <v>65</v>
      </c>
      <c r="C60" t="s">
        <v>66</v>
      </c>
      <c r="D60" s="2">
        <v>45700</v>
      </c>
      <c r="E60" t="s">
        <v>44</v>
      </c>
      <c r="F60" t="s">
        <v>17</v>
      </c>
      <c r="G60">
        <v>27299.279999999999</v>
      </c>
      <c r="H60">
        <v>3</v>
      </c>
    </row>
    <row r="61" spans="1:8" x14ac:dyDescent="0.3">
      <c r="A61" t="s">
        <v>64</v>
      </c>
      <c r="B61" t="s">
        <v>65</v>
      </c>
      <c r="C61" t="s">
        <v>67</v>
      </c>
      <c r="D61" s="2">
        <v>45727</v>
      </c>
      <c r="E61" t="s">
        <v>20</v>
      </c>
      <c r="F61" t="s">
        <v>12</v>
      </c>
      <c r="G61">
        <v>15200.37</v>
      </c>
      <c r="H61">
        <v>1</v>
      </c>
    </row>
    <row r="62" spans="1:8" x14ac:dyDescent="0.3">
      <c r="A62" t="s">
        <v>64</v>
      </c>
      <c r="B62" t="s">
        <v>65</v>
      </c>
      <c r="C62" t="s">
        <v>68</v>
      </c>
      <c r="D62" s="2">
        <v>45825</v>
      </c>
      <c r="E62" t="s">
        <v>29</v>
      </c>
      <c r="F62" t="s">
        <v>12</v>
      </c>
      <c r="G62">
        <v>11916.85</v>
      </c>
      <c r="H62">
        <v>5</v>
      </c>
    </row>
    <row r="63" spans="1:8" x14ac:dyDescent="0.3">
      <c r="A63" t="s">
        <v>64</v>
      </c>
      <c r="B63" t="s">
        <v>65</v>
      </c>
      <c r="C63" t="s">
        <v>68</v>
      </c>
      <c r="D63" s="2">
        <v>45825</v>
      </c>
      <c r="E63" t="s">
        <v>14</v>
      </c>
      <c r="F63" t="s">
        <v>15</v>
      </c>
      <c r="G63">
        <v>262.33</v>
      </c>
      <c r="H63">
        <v>1</v>
      </c>
    </row>
    <row r="64" spans="1:8" x14ac:dyDescent="0.3">
      <c r="A64" t="s">
        <v>64</v>
      </c>
      <c r="B64" t="s">
        <v>65</v>
      </c>
      <c r="C64" t="s">
        <v>68</v>
      </c>
      <c r="D64" s="2">
        <v>45825</v>
      </c>
      <c r="E64" t="s">
        <v>11</v>
      </c>
      <c r="F64" t="s">
        <v>12</v>
      </c>
      <c r="G64">
        <v>905.23</v>
      </c>
      <c r="H64">
        <v>1</v>
      </c>
    </row>
    <row r="65" spans="1:8" x14ac:dyDescent="0.3">
      <c r="A65" t="s">
        <v>64</v>
      </c>
      <c r="B65" t="s">
        <v>65</v>
      </c>
      <c r="C65" t="s">
        <v>69</v>
      </c>
      <c r="D65" s="2">
        <v>45844</v>
      </c>
      <c r="E65" t="s">
        <v>14</v>
      </c>
      <c r="F65" t="s">
        <v>15</v>
      </c>
      <c r="G65">
        <v>236.49</v>
      </c>
      <c r="H65">
        <v>1</v>
      </c>
    </row>
    <row r="66" spans="1:8" x14ac:dyDescent="0.3">
      <c r="A66" t="s">
        <v>64</v>
      </c>
      <c r="B66" t="s">
        <v>65</v>
      </c>
      <c r="C66" t="s">
        <v>69</v>
      </c>
      <c r="D66" s="2">
        <v>45844</v>
      </c>
      <c r="E66" t="s">
        <v>11</v>
      </c>
      <c r="F66" t="s">
        <v>12</v>
      </c>
      <c r="G66">
        <v>4454.05</v>
      </c>
      <c r="H66">
        <v>5</v>
      </c>
    </row>
    <row r="67" spans="1:8" x14ac:dyDescent="0.3">
      <c r="A67" t="s">
        <v>64</v>
      </c>
      <c r="B67" t="s">
        <v>65</v>
      </c>
      <c r="C67" t="s">
        <v>70</v>
      </c>
      <c r="D67" s="2">
        <v>45847</v>
      </c>
      <c r="E67" t="s">
        <v>24</v>
      </c>
      <c r="F67" t="s">
        <v>12</v>
      </c>
      <c r="G67">
        <v>65057.65</v>
      </c>
      <c r="H67">
        <v>5</v>
      </c>
    </row>
    <row r="68" spans="1:8" x14ac:dyDescent="0.3">
      <c r="A68" t="s">
        <v>64</v>
      </c>
      <c r="B68" t="s">
        <v>65</v>
      </c>
      <c r="C68" t="s">
        <v>70</v>
      </c>
      <c r="D68" s="2">
        <v>45847</v>
      </c>
      <c r="E68" t="s">
        <v>14</v>
      </c>
      <c r="F68" t="s">
        <v>15</v>
      </c>
      <c r="G68">
        <v>1026.04</v>
      </c>
      <c r="H68">
        <v>4</v>
      </c>
    </row>
    <row r="69" spans="1:8" x14ac:dyDescent="0.3">
      <c r="A69" t="s">
        <v>64</v>
      </c>
      <c r="B69" t="s">
        <v>65</v>
      </c>
      <c r="C69" t="s">
        <v>71</v>
      </c>
      <c r="D69" s="2">
        <v>45858</v>
      </c>
      <c r="E69" t="s">
        <v>22</v>
      </c>
      <c r="F69" t="s">
        <v>15</v>
      </c>
      <c r="G69">
        <v>1051.23</v>
      </c>
      <c r="H69">
        <v>3</v>
      </c>
    </row>
    <row r="70" spans="1:8" x14ac:dyDescent="0.3">
      <c r="A70" t="s">
        <v>64</v>
      </c>
      <c r="B70" t="s">
        <v>65</v>
      </c>
      <c r="C70" t="s">
        <v>71</v>
      </c>
      <c r="D70" s="2">
        <v>45858</v>
      </c>
      <c r="E70" t="s">
        <v>14</v>
      </c>
      <c r="F70" t="s">
        <v>15</v>
      </c>
      <c r="G70">
        <v>768.09</v>
      </c>
      <c r="H70">
        <v>3</v>
      </c>
    </row>
    <row r="71" spans="1:8" x14ac:dyDescent="0.3">
      <c r="A71" t="s">
        <v>72</v>
      </c>
      <c r="B71" t="s">
        <v>73</v>
      </c>
      <c r="C71" t="s">
        <v>74</v>
      </c>
      <c r="D71" s="2">
        <v>45696</v>
      </c>
      <c r="E71" t="s">
        <v>25</v>
      </c>
      <c r="F71" t="s">
        <v>12</v>
      </c>
      <c r="G71">
        <v>54731.519999999997</v>
      </c>
      <c r="H71">
        <v>1</v>
      </c>
    </row>
    <row r="72" spans="1:8" x14ac:dyDescent="0.3">
      <c r="A72" t="s">
        <v>72</v>
      </c>
      <c r="B72" t="s">
        <v>73</v>
      </c>
      <c r="C72" t="s">
        <v>74</v>
      </c>
      <c r="D72" s="2">
        <v>45696</v>
      </c>
      <c r="E72" t="s">
        <v>14</v>
      </c>
      <c r="F72" t="s">
        <v>15</v>
      </c>
      <c r="G72">
        <v>1042.56</v>
      </c>
      <c r="H72">
        <v>4</v>
      </c>
    </row>
    <row r="73" spans="1:8" x14ac:dyDescent="0.3">
      <c r="A73" t="s">
        <v>72</v>
      </c>
      <c r="B73" t="s">
        <v>73</v>
      </c>
      <c r="C73" t="s">
        <v>75</v>
      </c>
      <c r="D73" s="2">
        <v>45697</v>
      </c>
      <c r="E73" t="s">
        <v>44</v>
      </c>
      <c r="F73" t="s">
        <v>17</v>
      </c>
      <c r="G73">
        <v>24201.45</v>
      </c>
      <c r="H73">
        <v>3</v>
      </c>
    </row>
    <row r="74" spans="1:8" x14ac:dyDescent="0.3">
      <c r="A74" t="s">
        <v>72</v>
      </c>
      <c r="B74" t="s">
        <v>73</v>
      </c>
      <c r="C74" t="s">
        <v>76</v>
      </c>
      <c r="D74" s="2">
        <v>45745</v>
      </c>
      <c r="E74" t="s">
        <v>18</v>
      </c>
      <c r="F74" t="s">
        <v>17</v>
      </c>
      <c r="G74">
        <v>34885.550000000003</v>
      </c>
      <c r="H74">
        <v>5</v>
      </c>
    </row>
    <row r="75" spans="1:8" x14ac:dyDescent="0.3">
      <c r="A75" t="s">
        <v>72</v>
      </c>
      <c r="B75" t="s">
        <v>73</v>
      </c>
      <c r="C75" t="s">
        <v>76</v>
      </c>
      <c r="D75" s="2">
        <v>45745</v>
      </c>
      <c r="E75" t="s">
        <v>77</v>
      </c>
      <c r="F75" t="s">
        <v>15</v>
      </c>
      <c r="G75">
        <v>224.56</v>
      </c>
      <c r="H75">
        <v>2</v>
      </c>
    </row>
    <row r="76" spans="1:8" x14ac:dyDescent="0.3">
      <c r="A76" t="s">
        <v>72</v>
      </c>
      <c r="B76" t="s">
        <v>73</v>
      </c>
      <c r="C76" t="s">
        <v>78</v>
      </c>
      <c r="D76" s="2">
        <v>45918</v>
      </c>
      <c r="E76" t="s">
        <v>77</v>
      </c>
      <c r="F76" t="s">
        <v>15</v>
      </c>
      <c r="G76">
        <v>255.42</v>
      </c>
      <c r="H76">
        <v>2</v>
      </c>
    </row>
    <row r="77" spans="1:8" x14ac:dyDescent="0.3">
      <c r="A77" t="s">
        <v>72</v>
      </c>
      <c r="B77" t="s">
        <v>73</v>
      </c>
      <c r="C77" t="s">
        <v>78</v>
      </c>
      <c r="D77" s="2">
        <v>45918</v>
      </c>
      <c r="E77" t="s">
        <v>45</v>
      </c>
      <c r="F77" t="s">
        <v>12</v>
      </c>
      <c r="G77">
        <v>5402.52</v>
      </c>
      <c r="H77">
        <v>3</v>
      </c>
    </row>
    <row r="78" spans="1:8" x14ac:dyDescent="0.3">
      <c r="A78" t="s">
        <v>72</v>
      </c>
      <c r="B78" t="s">
        <v>73</v>
      </c>
      <c r="C78" t="s">
        <v>78</v>
      </c>
      <c r="D78" s="2">
        <v>45918</v>
      </c>
      <c r="E78" t="s">
        <v>29</v>
      </c>
      <c r="F78" t="s">
        <v>12</v>
      </c>
      <c r="G78">
        <v>9567.16</v>
      </c>
      <c r="H78">
        <v>4</v>
      </c>
    </row>
    <row r="79" spans="1:8" x14ac:dyDescent="0.3">
      <c r="A79" t="s">
        <v>72</v>
      </c>
      <c r="B79" t="s">
        <v>73</v>
      </c>
      <c r="C79" t="s">
        <v>79</v>
      </c>
      <c r="D79" s="2">
        <v>45996</v>
      </c>
      <c r="E79" t="s">
        <v>45</v>
      </c>
      <c r="F79" t="s">
        <v>12</v>
      </c>
      <c r="G79">
        <v>5139.87</v>
      </c>
      <c r="H79">
        <v>3</v>
      </c>
    </row>
    <row r="80" spans="1:8" x14ac:dyDescent="0.3">
      <c r="A80" t="s">
        <v>72</v>
      </c>
      <c r="B80" t="s">
        <v>73</v>
      </c>
      <c r="C80" t="s">
        <v>79</v>
      </c>
      <c r="D80" s="2">
        <v>45996</v>
      </c>
      <c r="E80" t="s">
        <v>11</v>
      </c>
      <c r="F80" t="s">
        <v>12</v>
      </c>
      <c r="G80">
        <v>1729.52</v>
      </c>
      <c r="H80">
        <v>2</v>
      </c>
    </row>
    <row r="81" spans="1:8" x14ac:dyDescent="0.3">
      <c r="A81" t="s">
        <v>80</v>
      </c>
      <c r="B81" t="s">
        <v>81</v>
      </c>
      <c r="C81" t="s">
        <v>82</v>
      </c>
      <c r="D81" s="2">
        <v>45723</v>
      </c>
      <c r="E81" t="s">
        <v>45</v>
      </c>
      <c r="F81" t="s">
        <v>12</v>
      </c>
      <c r="G81">
        <v>9039.2999999999993</v>
      </c>
      <c r="H81">
        <v>5</v>
      </c>
    </row>
    <row r="82" spans="1:8" x14ac:dyDescent="0.3">
      <c r="A82" t="s">
        <v>80</v>
      </c>
      <c r="B82" t="s">
        <v>81</v>
      </c>
      <c r="C82" t="s">
        <v>82</v>
      </c>
      <c r="D82" s="2">
        <v>45723</v>
      </c>
      <c r="E82" t="s">
        <v>11</v>
      </c>
      <c r="F82" t="s">
        <v>12</v>
      </c>
      <c r="G82">
        <v>965.65</v>
      </c>
      <c r="H82">
        <v>1</v>
      </c>
    </row>
    <row r="83" spans="1:8" x14ac:dyDescent="0.3">
      <c r="A83" t="s">
        <v>80</v>
      </c>
      <c r="B83" t="s">
        <v>81</v>
      </c>
      <c r="C83" t="s">
        <v>82</v>
      </c>
      <c r="D83" s="2">
        <v>45723</v>
      </c>
      <c r="E83" t="s">
        <v>37</v>
      </c>
      <c r="F83" t="s">
        <v>15</v>
      </c>
      <c r="G83">
        <v>729</v>
      </c>
      <c r="H83">
        <v>4</v>
      </c>
    </row>
    <row r="84" spans="1:8" x14ac:dyDescent="0.3">
      <c r="A84" t="s">
        <v>80</v>
      </c>
      <c r="B84" t="s">
        <v>81</v>
      </c>
      <c r="C84" t="s">
        <v>83</v>
      </c>
      <c r="D84" s="2">
        <v>45761</v>
      </c>
      <c r="E84" t="s">
        <v>45</v>
      </c>
      <c r="F84" t="s">
        <v>12</v>
      </c>
      <c r="G84">
        <v>7057.44</v>
      </c>
      <c r="H84">
        <v>4</v>
      </c>
    </row>
    <row r="85" spans="1:8" x14ac:dyDescent="0.3">
      <c r="A85" t="s">
        <v>80</v>
      </c>
      <c r="B85" t="s">
        <v>81</v>
      </c>
      <c r="C85" t="s">
        <v>83</v>
      </c>
      <c r="D85" s="2">
        <v>45761</v>
      </c>
      <c r="E85" t="s">
        <v>24</v>
      </c>
      <c r="F85" t="s">
        <v>12</v>
      </c>
      <c r="G85">
        <v>13378.61</v>
      </c>
      <c r="H85">
        <v>1</v>
      </c>
    </row>
    <row r="86" spans="1:8" x14ac:dyDescent="0.3">
      <c r="A86" t="s">
        <v>80</v>
      </c>
      <c r="B86" t="s">
        <v>81</v>
      </c>
      <c r="C86" t="s">
        <v>84</v>
      </c>
      <c r="D86" s="2">
        <v>45814</v>
      </c>
      <c r="E86" t="s">
        <v>14</v>
      </c>
      <c r="F86" t="s">
        <v>15</v>
      </c>
      <c r="G86">
        <v>522.1</v>
      </c>
      <c r="H86">
        <v>2</v>
      </c>
    </row>
    <row r="87" spans="1:8" x14ac:dyDescent="0.3">
      <c r="A87" t="s">
        <v>80</v>
      </c>
      <c r="B87" t="s">
        <v>81</v>
      </c>
      <c r="C87" t="s">
        <v>84</v>
      </c>
      <c r="D87" s="2">
        <v>45814</v>
      </c>
      <c r="E87" t="s">
        <v>45</v>
      </c>
      <c r="F87" t="s">
        <v>12</v>
      </c>
      <c r="G87">
        <v>3763.82</v>
      </c>
      <c r="H87">
        <v>2</v>
      </c>
    </row>
    <row r="88" spans="1:8" x14ac:dyDescent="0.3">
      <c r="A88" t="s">
        <v>80</v>
      </c>
      <c r="B88" t="s">
        <v>81</v>
      </c>
      <c r="C88" t="s">
        <v>84</v>
      </c>
      <c r="D88" s="2">
        <v>45814</v>
      </c>
      <c r="E88" t="s">
        <v>16</v>
      </c>
      <c r="F88" t="s">
        <v>17</v>
      </c>
      <c r="G88">
        <v>3604.76</v>
      </c>
      <c r="H88">
        <v>2</v>
      </c>
    </row>
    <row r="89" spans="1:8" x14ac:dyDescent="0.3">
      <c r="A89" t="s">
        <v>80</v>
      </c>
      <c r="B89" t="s">
        <v>81</v>
      </c>
      <c r="C89" t="s">
        <v>85</v>
      </c>
      <c r="D89" s="2">
        <v>45848</v>
      </c>
      <c r="E89" t="s">
        <v>11</v>
      </c>
      <c r="F89" t="s">
        <v>12</v>
      </c>
      <c r="G89">
        <v>2863.44</v>
      </c>
      <c r="H89">
        <v>3</v>
      </c>
    </row>
    <row r="90" spans="1:8" x14ac:dyDescent="0.3">
      <c r="A90" t="s">
        <v>80</v>
      </c>
      <c r="B90" t="s">
        <v>81</v>
      </c>
      <c r="C90" t="s">
        <v>85</v>
      </c>
      <c r="D90" s="2">
        <v>45848</v>
      </c>
      <c r="E90" t="s">
        <v>25</v>
      </c>
      <c r="F90" t="s">
        <v>12</v>
      </c>
      <c r="G90">
        <v>105273.02</v>
      </c>
      <c r="H90">
        <v>2</v>
      </c>
    </row>
    <row r="91" spans="1:8" x14ac:dyDescent="0.3">
      <c r="A91" t="s">
        <v>80</v>
      </c>
      <c r="B91" t="s">
        <v>81</v>
      </c>
      <c r="C91" t="s">
        <v>86</v>
      </c>
      <c r="D91" s="2">
        <v>45881</v>
      </c>
      <c r="E91" t="s">
        <v>45</v>
      </c>
      <c r="F91" t="s">
        <v>12</v>
      </c>
      <c r="G91">
        <v>8540.65</v>
      </c>
      <c r="H91">
        <v>5</v>
      </c>
    </row>
    <row r="92" spans="1:8" x14ac:dyDescent="0.3">
      <c r="A92" t="s">
        <v>80</v>
      </c>
      <c r="B92" t="s">
        <v>81</v>
      </c>
      <c r="C92" t="s">
        <v>86</v>
      </c>
      <c r="D92" s="2">
        <v>45881</v>
      </c>
      <c r="E92" t="s">
        <v>44</v>
      </c>
      <c r="F92" t="s">
        <v>17</v>
      </c>
      <c r="G92">
        <v>17205.78</v>
      </c>
      <c r="H92">
        <v>2</v>
      </c>
    </row>
    <row r="93" spans="1:8" x14ac:dyDescent="0.3">
      <c r="A93" t="s">
        <v>87</v>
      </c>
      <c r="B93" t="s">
        <v>88</v>
      </c>
      <c r="C93" t="s">
        <v>89</v>
      </c>
      <c r="D93" s="2">
        <v>45703</v>
      </c>
      <c r="E93" t="s">
        <v>24</v>
      </c>
      <c r="F93" t="s">
        <v>12</v>
      </c>
      <c r="G93">
        <v>49444.52</v>
      </c>
      <c r="H93">
        <v>4</v>
      </c>
    </row>
    <row r="94" spans="1:8" x14ac:dyDescent="0.3">
      <c r="A94" t="s">
        <v>87</v>
      </c>
      <c r="B94" t="s">
        <v>88</v>
      </c>
      <c r="C94" t="s">
        <v>89</v>
      </c>
      <c r="D94" s="2">
        <v>45703</v>
      </c>
      <c r="E94" t="s">
        <v>37</v>
      </c>
      <c r="F94" t="s">
        <v>15</v>
      </c>
      <c r="G94">
        <v>187.81</v>
      </c>
      <c r="H94">
        <v>1</v>
      </c>
    </row>
    <row r="95" spans="1:8" x14ac:dyDescent="0.3">
      <c r="A95" t="s">
        <v>87</v>
      </c>
      <c r="B95" t="s">
        <v>88</v>
      </c>
      <c r="C95" t="s">
        <v>89</v>
      </c>
      <c r="D95" s="2">
        <v>45703</v>
      </c>
      <c r="E95" t="s">
        <v>77</v>
      </c>
      <c r="F95" t="s">
        <v>15</v>
      </c>
      <c r="G95">
        <v>255.92</v>
      </c>
      <c r="H95">
        <v>2</v>
      </c>
    </row>
    <row r="96" spans="1:8" x14ac:dyDescent="0.3">
      <c r="A96" t="s">
        <v>87</v>
      </c>
      <c r="B96" t="s">
        <v>88</v>
      </c>
      <c r="C96" t="s">
        <v>90</v>
      </c>
      <c r="D96" s="2">
        <v>45706</v>
      </c>
      <c r="E96" t="s">
        <v>22</v>
      </c>
      <c r="F96" t="s">
        <v>15</v>
      </c>
      <c r="G96">
        <v>1837.35</v>
      </c>
      <c r="H96">
        <v>5</v>
      </c>
    </row>
    <row r="97" spans="1:8" x14ac:dyDescent="0.3">
      <c r="A97" t="s">
        <v>87</v>
      </c>
      <c r="B97" t="s">
        <v>88</v>
      </c>
      <c r="C97" t="s">
        <v>90</v>
      </c>
      <c r="D97" s="2">
        <v>45706</v>
      </c>
      <c r="E97" t="s">
        <v>37</v>
      </c>
      <c r="F97" t="s">
        <v>15</v>
      </c>
      <c r="G97">
        <v>503.1</v>
      </c>
      <c r="H97">
        <v>3</v>
      </c>
    </row>
    <row r="98" spans="1:8" x14ac:dyDescent="0.3">
      <c r="A98" t="s">
        <v>87</v>
      </c>
      <c r="B98" t="s">
        <v>88</v>
      </c>
      <c r="C98" t="s">
        <v>91</v>
      </c>
      <c r="D98" s="2">
        <v>45798</v>
      </c>
      <c r="E98" t="s">
        <v>45</v>
      </c>
      <c r="F98" t="s">
        <v>12</v>
      </c>
      <c r="G98">
        <v>1818.26</v>
      </c>
      <c r="H98">
        <v>1</v>
      </c>
    </row>
    <row r="99" spans="1:8" x14ac:dyDescent="0.3">
      <c r="A99" t="s">
        <v>87</v>
      </c>
      <c r="B99" t="s">
        <v>88</v>
      </c>
      <c r="C99" t="s">
        <v>92</v>
      </c>
      <c r="D99" s="2">
        <v>45932</v>
      </c>
      <c r="E99" t="s">
        <v>18</v>
      </c>
      <c r="F99" t="s">
        <v>17</v>
      </c>
      <c r="G99">
        <v>14117.42</v>
      </c>
      <c r="H99">
        <v>2</v>
      </c>
    </row>
    <row r="100" spans="1:8" x14ac:dyDescent="0.3">
      <c r="A100" t="s">
        <v>87</v>
      </c>
      <c r="B100" t="s">
        <v>88</v>
      </c>
      <c r="C100" t="s">
        <v>92</v>
      </c>
      <c r="D100" s="2">
        <v>45932</v>
      </c>
      <c r="E100" t="s">
        <v>32</v>
      </c>
      <c r="F100" t="s">
        <v>17</v>
      </c>
      <c r="G100">
        <v>24049.200000000001</v>
      </c>
      <c r="H100">
        <v>2</v>
      </c>
    </row>
    <row r="101" spans="1:8" x14ac:dyDescent="0.3">
      <c r="A101" t="s">
        <v>87</v>
      </c>
      <c r="B101" t="s">
        <v>88</v>
      </c>
      <c r="C101" t="s">
        <v>92</v>
      </c>
      <c r="D101" s="2">
        <v>45932</v>
      </c>
      <c r="E101" t="s">
        <v>44</v>
      </c>
      <c r="F101" t="s">
        <v>17</v>
      </c>
      <c r="G101">
        <v>31201.24</v>
      </c>
      <c r="H101">
        <v>4</v>
      </c>
    </row>
    <row r="102" spans="1:8" x14ac:dyDescent="0.3">
      <c r="A102" t="s">
        <v>93</v>
      </c>
      <c r="B102" t="s">
        <v>94</v>
      </c>
      <c r="C102" t="s">
        <v>95</v>
      </c>
      <c r="D102" s="2">
        <v>45670</v>
      </c>
      <c r="E102" t="s">
        <v>25</v>
      </c>
      <c r="F102" t="s">
        <v>12</v>
      </c>
      <c r="G102">
        <v>157174.07999999999</v>
      </c>
      <c r="H102">
        <v>3</v>
      </c>
    </row>
    <row r="103" spans="1:8" x14ac:dyDescent="0.3">
      <c r="A103" t="s">
        <v>93</v>
      </c>
      <c r="B103" t="s">
        <v>94</v>
      </c>
      <c r="C103" t="s">
        <v>95</v>
      </c>
      <c r="D103" s="2">
        <v>45670</v>
      </c>
      <c r="E103" t="s">
        <v>20</v>
      </c>
      <c r="F103" t="s">
        <v>12</v>
      </c>
      <c r="G103">
        <v>49238.49</v>
      </c>
      <c r="H103">
        <v>3</v>
      </c>
    </row>
    <row r="104" spans="1:8" x14ac:dyDescent="0.3">
      <c r="A104" t="s">
        <v>93</v>
      </c>
      <c r="B104" t="s">
        <v>94</v>
      </c>
      <c r="C104" t="s">
        <v>96</v>
      </c>
      <c r="D104" s="2">
        <v>45749</v>
      </c>
      <c r="E104" t="s">
        <v>24</v>
      </c>
      <c r="F104" t="s">
        <v>12</v>
      </c>
      <c r="G104">
        <v>13084.05</v>
      </c>
      <c r="H104">
        <v>1</v>
      </c>
    </row>
    <row r="105" spans="1:8" x14ac:dyDescent="0.3">
      <c r="A105" t="s">
        <v>93</v>
      </c>
      <c r="B105" t="s">
        <v>94</v>
      </c>
      <c r="C105" t="s">
        <v>97</v>
      </c>
      <c r="D105" s="2">
        <v>45863</v>
      </c>
      <c r="E105" t="s">
        <v>29</v>
      </c>
      <c r="F105" t="s">
        <v>12</v>
      </c>
      <c r="G105">
        <v>2277.52</v>
      </c>
      <c r="H105">
        <v>1</v>
      </c>
    </row>
    <row r="106" spans="1:8" x14ac:dyDescent="0.3">
      <c r="A106" t="s">
        <v>93</v>
      </c>
      <c r="B106" t="s">
        <v>94</v>
      </c>
      <c r="C106" t="s">
        <v>97</v>
      </c>
      <c r="D106" s="2">
        <v>45863</v>
      </c>
      <c r="E106" t="s">
        <v>26</v>
      </c>
      <c r="F106" t="s">
        <v>12</v>
      </c>
      <c r="G106">
        <v>2979.15</v>
      </c>
      <c r="H106">
        <v>3</v>
      </c>
    </row>
    <row r="107" spans="1:8" x14ac:dyDescent="0.3">
      <c r="A107" t="s">
        <v>93</v>
      </c>
      <c r="B107" t="s">
        <v>94</v>
      </c>
      <c r="C107" t="s">
        <v>97</v>
      </c>
      <c r="D107" s="2">
        <v>45863</v>
      </c>
      <c r="E107" t="s">
        <v>77</v>
      </c>
      <c r="F107" t="s">
        <v>15</v>
      </c>
      <c r="G107">
        <v>628.85</v>
      </c>
      <c r="H107">
        <v>5</v>
      </c>
    </row>
    <row r="108" spans="1:8" x14ac:dyDescent="0.3">
      <c r="A108" t="s">
        <v>93</v>
      </c>
      <c r="B108" t="s">
        <v>94</v>
      </c>
      <c r="C108" t="s">
        <v>98</v>
      </c>
      <c r="D108" s="2">
        <v>45873</v>
      </c>
      <c r="E108" t="s">
        <v>25</v>
      </c>
      <c r="F108" t="s">
        <v>12</v>
      </c>
      <c r="G108">
        <v>289055</v>
      </c>
      <c r="H108">
        <v>5</v>
      </c>
    </row>
    <row r="109" spans="1:8" x14ac:dyDescent="0.3">
      <c r="A109" t="s">
        <v>99</v>
      </c>
      <c r="B109" t="s">
        <v>100</v>
      </c>
      <c r="C109" t="s">
        <v>101</v>
      </c>
      <c r="D109" s="2">
        <v>45711</v>
      </c>
      <c r="E109" t="s">
        <v>24</v>
      </c>
      <c r="F109" t="s">
        <v>12</v>
      </c>
      <c r="G109">
        <v>64189.65</v>
      </c>
      <c r="H109">
        <v>5</v>
      </c>
    </row>
    <row r="110" spans="1:8" x14ac:dyDescent="0.3">
      <c r="A110" t="s">
        <v>99</v>
      </c>
      <c r="B110" t="s">
        <v>100</v>
      </c>
      <c r="C110" t="s">
        <v>101</v>
      </c>
      <c r="D110" s="2">
        <v>45711</v>
      </c>
      <c r="E110" t="s">
        <v>11</v>
      </c>
      <c r="F110" t="s">
        <v>12</v>
      </c>
      <c r="G110">
        <v>964.53</v>
      </c>
      <c r="H110">
        <v>1</v>
      </c>
    </row>
    <row r="111" spans="1:8" x14ac:dyDescent="0.3">
      <c r="A111" t="s">
        <v>99</v>
      </c>
      <c r="B111" t="s">
        <v>100</v>
      </c>
      <c r="C111" t="s">
        <v>102</v>
      </c>
      <c r="D111" s="2">
        <v>45753</v>
      </c>
      <c r="E111" t="s">
        <v>24</v>
      </c>
      <c r="F111" t="s">
        <v>12</v>
      </c>
      <c r="G111">
        <v>33753.39</v>
      </c>
      <c r="H111">
        <v>3</v>
      </c>
    </row>
    <row r="112" spans="1:8" x14ac:dyDescent="0.3">
      <c r="A112" t="s">
        <v>99</v>
      </c>
      <c r="B112" t="s">
        <v>100</v>
      </c>
      <c r="C112" t="s">
        <v>102</v>
      </c>
      <c r="D112" s="2">
        <v>45753</v>
      </c>
      <c r="E112" t="s">
        <v>11</v>
      </c>
      <c r="F112" t="s">
        <v>12</v>
      </c>
      <c r="G112">
        <v>986.37</v>
      </c>
      <c r="H112">
        <v>1</v>
      </c>
    </row>
    <row r="113" spans="1:8" x14ac:dyDescent="0.3">
      <c r="A113" t="s">
        <v>99</v>
      </c>
      <c r="B113" t="s">
        <v>100</v>
      </c>
      <c r="C113" t="s">
        <v>102</v>
      </c>
      <c r="D113" s="2">
        <v>45753</v>
      </c>
      <c r="E113" t="s">
        <v>29</v>
      </c>
      <c r="F113" t="s">
        <v>12</v>
      </c>
      <c r="G113">
        <v>9656.7199999999993</v>
      </c>
      <c r="H113">
        <v>4</v>
      </c>
    </row>
    <row r="114" spans="1:8" x14ac:dyDescent="0.3">
      <c r="A114" t="s">
        <v>99</v>
      </c>
      <c r="B114" t="s">
        <v>100</v>
      </c>
      <c r="C114" t="s">
        <v>103</v>
      </c>
      <c r="D114" s="2">
        <v>45857</v>
      </c>
      <c r="E114" t="s">
        <v>29</v>
      </c>
      <c r="F114" t="s">
        <v>12</v>
      </c>
      <c r="G114">
        <v>8084.28</v>
      </c>
      <c r="H114">
        <v>4</v>
      </c>
    </row>
    <row r="115" spans="1:8" x14ac:dyDescent="0.3">
      <c r="A115" t="s">
        <v>99</v>
      </c>
      <c r="B115" t="s">
        <v>100</v>
      </c>
      <c r="C115" t="s">
        <v>103</v>
      </c>
      <c r="D115" s="2">
        <v>45857</v>
      </c>
      <c r="E115" t="s">
        <v>14</v>
      </c>
      <c r="F115" t="s">
        <v>15</v>
      </c>
      <c r="G115">
        <v>1079.1199999999999</v>
      </c>
      <c r="H115">
        <v>4</v>
      </c>
    </row>
    <row r="116" spans="1:8" x14ac:dyDescent="0.3">
      <c r="A116" t="s">
        <v>99</v>
      </c>
      <c r="B116" t="s">
        <v>100</v>
      </c>
      <c r="C116" t="s">
        <v>103</v>
      </c>
      <c r="D116" s="2">
        <v>45857</v>
      </c>
      <c r="E116" t="s">
        <v>16</v>
      </c>
      <c r="F116" t="s">
        <v>17</v>
      </c>
      <c r="G116">
        <v>8632.7999999999993</v>
      </c>
      <c r="H116">
        <v>5</v>
      </c>
    </row>
    <row r="117" spans="1:8" x14ac:dyDescent="0.3">
      <c r="A117" t="s">
        <v>104</v>
      </c>
      <c r="B117" t="s">
        <v>105</v>
      </c>
      <c r="C117" t="s">
        <v>106</v>
      </c>
      <c r="D117" s="2">
        <v>45685</v>
      </c>
      <c r="E117" t="s">
        <v>26</v>
      </c>
      <c r="F117" t="s">
        <v>12</v>
      </c>
      <c r="G117">
        <v>1101.95</v>
      </c>
      <c r="H117">
        <v>1</v>
      </c>
    </row>
    <row r="118" spans="1:8" x14ac:dyDescent="0.3">
      <c r="A118" t="s">
        <v>104</v>
      </c>
      <c r="B118" t="s">
        <v>105</v>
      </c>
      <c r="C118" t="s">
        <v>107</v>
      </c>
      <c r="D118" s="2">
        <v>45927</v>
      </c>
      <c r="E118" t="s">
        <v>11</v>
      </c>
      <c r="F118" t="s">
        <v>12</v>
      </c>
      <c r="G118">
        <v>1695.72</v>
      </c>
      <c r="H118">
        <v>2</v>
      </c>
    </row>
    <row r="119" spans="1:8" x14ac:dyDescent="0.3">
      <c r="A119" t="s">
        <v>104</v>
      </c>
      <c r="B119" t="s">
        <v>105</v>
      </c>
      <c r="C119" t="s">
        <v>107</v>
      </c>
      <c r="D119" s="2">
        <v>45927</v>
      </c>
      <c r="E119" t="s">
        <v>26</v>
      </c>
      <c r="F119" t="s">
        <v>12</v>
      </c>
      <c r="G119">
        <v>3053.46</v>
      </c>
      <c r="H119">
        <v>3</v>
      </c>
    </row>
    <row r="120" spans="1:8" x14ac:dyDescent="0.3">
      <c r="A120" t="s">
        <v>104</v>
      </c>
      <c r="B120" t="s">
        <v>105</v>
      </c>
      <c r="C120" t="s">
        <v>108</v>
      </c>
      <c r="D120" s="2">
        <v>45983</v>
      </c>
      <c r="E120" t="s">
        <v>32</v>
      </c>
      <c r="F120" t="s">
        <v>17</v>
      </c>
      <c r="G120">
        <v>58091.6</v>
      </c>
      <c r="H120">
        <v>5</v>
      </c>
    </row>
    <row r="121" spans="1:8" x14ac:dyDescent="0.3">
      <c r="A121" t="s">
        <v>104</v>
      </c>
      <c r="B121" t="s">
        <v>105</v>
      </c>
      <c r="C121" t="s">
        <v>108</v>
      </c>
      <c r="D121" s="2">
        <v>45983</v>
      </c>
      <c r="E121" t="s">
        <v>77</v>
      </c>
      <c r="F121" t="s">
        <v>15</v>
      </c>
      <c r="G121">
        <v>605.20000000000005</v>
      </c>
      <c r="H121">
        <v>5</v>
      </c>
    </row>
    <row r="122" spans="1:8" x14ac:dyDescent="0.3">
      <c r="A122" t="s">
        <v>104</v>
      </c>
      <c r="B122" t="s">
        <v>105</v>
      </c>
      <c r="C122" t="s">
        <v>108</v>
      </c>
      <c r="D122" s="2">
        <v>45983</v>
      </c>
      <c r="E122" t="s">
        <v>20</v>
      </c>
      <c r="F122" t="s">
        <v>12</v>
      </c>
      <c r="G122">
        <v>28911.16</v>
      </c>
      <c r="H122">
        <v>2</v>
      </c>
    </row>
    <row r="123" spans="1:8" x14ac:dyDescent="0.3">
      <c r="A123" t="s">
        <v>109</v>
      </c>
      <c r="B123" t="s">
        <v>110</v>
      </c>
      <c r="C123" t="s">
        <v>111</v>
      </c>
      <c r="D123" s="2">
        <v>45807</v>
      </c>
      <c r="E123" t="s">
        <v>11</v>
      </c>
      <c r="F123" t="s">
        <v>12</v>
      </c>
      <c r="G123">
        <v>4917.95</v>
      </c>
      <c r="H123">
        <v>5</v>
      </c>
    </row>
    <row r="124" spans="1:8" x14ac:dyDescent="0.3">
      <c r="A124" t="s">
        <v>109</v>
      </c>
      <c r="B124" t="s">
        <v>110</v>
      </c>
      <c r="C124" t="s">
        <v>112</v>
      </c>
      <c r="D124" s="2">
        <v>45813</v>
      </c>
      <c r="E124" t="s">
        <v>24</v>
      </c>
      <c r="F124" t="s">
        <v>12</v>
      </c>
      <c r="G124">
        <v>11547.55</v>
      </c>
      <c r="H124">
        <v>1</v>
      </c>
    </row>
    <row r="125" spans="1:8" x14ac:dyDescent="0.3">
      <c r="A125" t="s">
        <v>109</v>
      </c>
      <c r="B125" t="s">
        <v>110</v>
      </c>
      <c r="C125" t="s">
        <v>112</v>
      </c>
      <c r="D125" s="2">
        <v>45813</v>
      </c>
      <c r="E125" t="s">
        <v>26</v>
      </c>
      <c r="F125" t="s">
        <v>12</v>
      </c>
      <c r="G125">
        <v>1199.04</v>
      </c>
      <c r="H125">
        <v>1</v>
      </c>
    </row>
    <row r="126" spans="1:8" x14ac:dyDescent="0.3">
      <c r="A126" t="s">
        <v>113</v>
      </c>
      <c r="B126" t="s">
        <v>114</v>
      </c>
      <c r="C126" t="s">
        <v>115</v>
      </c>
      <c r="D126" s="2">
        <v>45737</v>
      </c>
      <c r="E126" t="s">
        <v>16</v>
      </c>
      <c r="F126" t="s">
        <v>17</v>
      </c>
      <c r="G126">
        <v>5892.09</v>
      </c>
      <c r="H126">
        <v>3</v>
      </c>
    </row>
    <row r="127" spans="1:8" x14ac:dyDescent="0.3">
      <c r="A127" t="s">
        <v>113</v>
      </c>
      <c r="B127" t="s">
        <v>114</v>
      </c>
      <c r="C127" t="s">
        <v>115</v>
      </c>
      <c r="D127" s="2">
        <v>45737</v>
      </c>
      <c r="E127" t="s">
        <v>44</v>
      </c>
      <c r="F127" t="s">
        <v>17</v>
      </c>
      <c r="G127">
        <v>8092.69</v>
      </c>
      <c r="H127">
        <v>1</v>
      </c>
    </row>
    <row r="128" spans="1:8" x14ac:dyDescent="0.3">
      <c r="A128" t="s">
        <v>113</v>
      </c>
      <c r="B128" t="s">
        <v>114</v>
      </c>
      <c r="C128" t="s">
        <v>115</v>
      </c>
      <c r="D128" s="2">
        <v>45737</v>
      </c>
      <c r="E128" t="s">
        <v>20</v>
      </c>
      <c r="F128" t="s">
        <v>12</v>
      </c>
      <c r="G128">
        <v>14837.31</v>
      </c>
      <c r="H128">
        <v>1</v>
      </c>
    </row>
    <row r="129" spans="1:8" x14ac:dyDescent="0.3">
      <c r="A129" t="s">
        <v>113</v>
      </c>
      <c r="B129" t="s">
        <v>114</v>
      </c>
      <c r="C129" t="s">
        <v>116</v>
      </c>
      <c r="D129" s="2">
        <v>45821</v>
      </c>
      <c r="E129" t="s">
        <v>22</v>
      </c>
      <c r="F129" t="s">
        <v>15</v>
      </c>
      <c r="G129">
        <v>1479.12</v>
      </c>
      <c r="H129">
        <v>4</v>
      </c>
    </row>
    <row r="130" spans="1:8" x14ac:dyDescent="0.3">
      <c r="A130" t="s">
        <v>113</v>
      </c>
      <c r="B130" t="s">
        <v>114</v>
      </c>
      <c r="C130" t="s">
        <v>116</v>
      </c>
      <c r="D130" s="2">
        <v>45821</v>
      </c>
      <c r="E130" t="s">
        <v>18</v>
      </c>
      <c r="F130" t="s">
        <v>17</v>
      </c>
      <c r="G130">
        <v>6335.27</v>
      </c>
      <c r="H130">
        <v>1</v>
      </c>
    </row>
    <row r="131" spans="1:8" x14ac:dyDescent="0.3">
      <c r="A131" t="s">
        <v>117</v>
      </c>
      <c r="B131" t="s">
        <v>118</v>
      </c>
      <c r="C131" t="s">
        <v>119</v>
      </c>
      <c r="D131" s="2">
        <v>45675</v>
      </c>
      <c r="E131" t="s">
        <v>25</v>
      </c>
      <c r="F131" t="s">
        <v>12</v>
      </c>
      <c r="G131">
        <v>294170.7</v>
      </c>
      <c r="H131">
        <v>5</v>
      </c>
    </row>
    <row r="132" spans="1:8" x14ac:dyDescent="0.3">
      <c r="A132" t="s">
        <v>117</v>
      </c>
      <c r="B132" t="s">
        <v>118</v>
      </c>
      <c r="C132" t="s">
        <v>120</v>
      </c>
      <c r="D132" s="2">
        <v>45873</v>
      </c>
      <c r="E132" t="s">
        <v>18</v>
      </c>
      <c r="F132" t="s">
        <v>17</v>
      </c>
      <c r="G132">
        <v>19256.580000000002</v>
      </c>
      <c r="H132">
        <v>3</v>
      </c>
    </row>
    <row r="133" spans="1:8" x14ac:dyDescent="0.3">
      <c r="A133" t="s">
        <v>117</v>
      </c>
      <c r="B133" t="s">
        <v>118</v>
      </c>
      <c r="C133" t="s">
        <v>120</v>
      </c>
      <c r="D133" s="2">
        <v>45873</v>
      </c>
      <c r="E133" t="s">
        <v>37</v>
      </c>
      <c r="F133" t="s">
        <v>15</v>
      </c>
      <c r="G133">
        <v>772.6</v>
      </c>
      <c r="H133">
        <v>4</v>
      </c>
    </row>
    <row r="134" spans="1:8" x14ac:dyDescent="0.3">
      <c r="A134" t="s">
        <v>121</v>
      </c>
      <c r="B134" t="s">
        <v>122</v>
      </c>
      <c r="C134" t="s">
        <v>123</v>
      </c>
      <c r="D134" s="2">
        <v>45694</v>
      </c>
      <c r="E134" t="s">
        <v>29</v>
      </c>
      <c r="F134" t="s">
        <v>12</v>
      </c>
      <c r="G134">
        <v>9260</v>
      </c>
      <c r="H134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9"/>
  <sheetViews>
    <sheetView topLeftCell="A50" workbookViewId="0">
      <selection activeCell="C77" sqref="C7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</v>
      </c>
      <c r="B2" t="s">
        <v>9</v>
      </c>
      <c r="C2" t="s">
        <v>33</v>
      </c>
    </row>
    <row r="3" spans="1:3" x14ac:dyDescent="0.3">
      <c r="A3" t="s">
        <v>8</v>
      </c>
      <c r="B3" t="s">
        <v>9</v>
      </c>
      <c r="C3" t="s">
        <v>30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8</v>
      </c>
      <c r="B5" t="s">
        <v>9</v>
      </c>
      <c r="C5" t="s">
        <v>31</v>
      </c>
    </row>
    <row r="6" spans="1:3" x14ac:dyDescent="0.3">
      <c r="A6" t="s">
        <v>8</v>
      </c>
      <c r="B6" t="s">
        <v>9</v>
      </c>
      <c r="C6" t="s">
        <v>13</v>
      </c>
    </row>
    <row r="7" spans="1:3" x14ac:dyDescent="0.3">
      <c r="A7" t="s">
        <v>8</v>
      </c>
      <c r="B7" t="s">
        <v>9</v>
      </c>
      <c r="C7" t="s">
        <v>21</v>
      </c>
    </row>
    <row r="8" spans="1:3" x14ac:dyDescent="0.3">
      <c r="A8" t="s">
        <v>8</v>
      </c>
      <c r="B8" t="s">
        <v>9</v>
      </c>
      <c r="C8" t="s">
        <v>19</v>
      </c>
    </row>
    <row r="9" spans="1:3" x14ac:dyDescent="0.3">
      <c r="A9" t="s">
        <v>8</v>
      </c>
      <c r="B9" t="s">
        <v>9</v>
      </c>
      <c r="C9" t="s">
        <v>23</v>
      </c>
    </row>
    <row r="10" spans="1:3" x14ac:dyDescent="0.3">
      <c r="A10" t="s">
        <v>8</v>
      </c>
      <c r="B10" t="s">
        <v>9</v>
      </c>
      <c r="C10" t="s">
        <v>28</v>
      </c>
    </row>
    <row r="11" spans="1:3" x14ac:dyDescent="0.3">
      <c r="A11" t="s">
        <v>8</v>
      </c>
      <c r="B11" t="s">
        <v>9</v>
      </c>
      <c r="C11" t="s">
        <v>27</v>
      </c>
    </row>
    <row r="12" spans="1:3" x14ac:dyDescent="0.3">
      <c r="A12" t="s">
        <v>34</v>
      </c>
      <c r="B12" t="s">
        <v>35</v>
      </c>
      <c r="C12" t="s">
        <v>36</v>
      </c>
    </row>
    <row r="13" spans="1:3" x14ac:dyDescent="0.3">
      <c r="A13" t="s">
        <v>34</v>
      </c>
      <c r="B13" t="s">
        <v>35</v>
      </c>
      <c r="C13" t="s">
        <v>42</v>
      </c>
    </row>
    <row r="14" spans="1:3" x14ac:dyDescent="0.3">
      <c r="A14" t="s">
        <v>34</v>
      </c>
      <c r="B14" t="s">
        <v>35</v>
      </c>
      <c r="C14" t="s">
        <v>39</v>
      </c>
    </row>
    <row r="15" spans="1:3" x14ac:dyDescent="0.3">
      <c r="A15" t="s">
        <v>34</v>
      </c>
      <c r="B15" t="s">
        <v>35</v>
      </c>
      <c r="C15" t="s">
        <v>41</v>
      </c>
    </row>
    <row r="16" spans="1:3" x14ac:dyDescent="0.3">
      <c r="A16" t="s">
        <v>34</v>
      </c>
      <c r="B16" t="s">
        <v>35</v>
      </c>
      <c r="C16" t="s">
        <v>43</v>
      </c>
    </row>
    <row r="17" spans="1:3" x14ac:dyDescent="0.3">
      <c r="A17" t="s">
        <v>34</v>
      </c>
      <c r="B17" t="s">
        <v>35</v>
      </c>
      <c r="C17" t="s">
        <v>40</v>
      </c>
    </row>
    <row r="18" spans="1:3" x14ac:dyDescent="0.3">
      <c r="A18" t="s">
        <v>34</v>
      </c>
      <c r="B18" t="s">
        <v>35</v>
      </c>
      <c r="C18" t="s">
        <v>46</v>
      </c>
    </row>
    <row r="19" spans="1:3" x14ac:dyDescent="0.3">
      <c r="A19" t="s">
        <v>34</v>
      </c>
      <c r="B19" t="s">
        <v>35</v>
      </c>
      <c r="C19" t="s">
        <v>38</v>
      </c>
    </row>
    <row r="20" spans="1:3" x14ac:dyDescent="0.3">
      <c r="A20" t="s">
        <v>47</v>
      </c>
      <c r="B20" t="s">
        <v>48</v>
      </c>
      <c r="C20" t="s">
        <v>50</v>
      </c>
    </row>
    <row r="21" spans="1:3" x14ac:dyDescent="0.3">
      <c r="A21" t="s">
        <v>47</v>
      </c>
      <c r="B21" t="s">
        <v>48</v>
      </c>
      <c r="C21" t="s">
        <v>52</v>
      </c>
    </row>
    <row r="22" spans="1:3" x14ac:dyDescent="0.3">
      <c r="A22" t="s">
        <v>47</v>
      </c>
      <c r="B22" t="s">
        <v>48</v>
      </c>
      <c r="C22" t="s">
        <v>55</v>
      </c>
    </row>
    <row r="23" spans="1:3" x14ac:dyDescent="0.3">
      <c r="A23" t="s">
        <v>47</v>
      </c>
      <c r="B23" t="s">
        <v>48</v>
      </c>
      <c r="C23" t="s">
        <v>53</v>
      </c>
    </row>
    <row r="24" spans="1:3" x14ac:dyDescent="0.3">
      <c r="A24" t="s">
        <v>47</v>
      </c>
      <c r="B24" t="s">
        <v>48</v>
      </c>
      <c r="C24" t="s">
        <v>49</v>
      </c>
    </row>
    <row r="25" spans="1:3" x14ac:dyDescent="0.3">
      <c r="A25" t="s">
        <v>47</v>
      </c>
      <c r="B25" t="s">
        <v>48</v>
      </c>
      <c r="C25" t="s">
        <v>54</v>
      </c>
    </row>
    <row r="26" spans="1:3" x14ac:dyDescent="0.3">
      <c r="A26" t="s">
        <v>47</v>
      </c>
      <c r="B26" t="s">
        <v>48</v>
      </c>
      <c r="C26" t="s">
        <v>51</v>
      </c>
    </row>
    <row r="27" spans="1:3" x14ac:dyDescent="0.3">
      <c r="A27" t="s">
        <v>56</v>
      </c>
      <c r="B27" t="s">
        <v>57</v>
      </c>
      <c r="C27" t="s">
        <v>63</v>
      </c>
    </row>
    <row r="28" spans="1:3" x14ac:dyDescent="0.3">
      <c r="A28" t="s">
        <v>56</v>
      </c>
      <c r="B28" t="s">
        <v>57</v>
      </c>
      <c r="C28" t="s">
        <v>61</v>
      </c>
    </row>
    <row r="29" spans="1:3" x14ac:dyDescent="0.3">
      <c r="A29" t="s">
        <v>56</v>
      </c>
      <c r="B29" t="s">
        <v>57</v>
      </c>
      <c r="C29" t="s">
        <v>59</v>
      </c>
    </row>
    <row r="30" spans="1:3" x14ac:dyDescent="0.3">
      <c r="A30" t="s">
        <v>56</v>
      </c>
      <c r="B30" t="s">
        <v>57</v>
      </c>
      <c r="C30" t="s">
        <v>62</v>
      </c>
    </row>
    <row r="31" spans="1:3" x14ac:dyDescent="0.3">
      <c r="A31" t="s">
        <v>56</v>
      </c>
      <c r="B31" t="s">
        <v>57</v>
      </c>
      <c r="C31" t="s">
        <v>58</v>
      </c>
    </row>
    <row r="32" spans="1:3" x14ac:dyDescent="0.3">
      <c r="A32" t="s">
        <v>56</v>
      </c>
      <c r="B32" t="s">
        <v>57</v>
      </c>
      <c r="C32" t="s">
        <v>60</v>
      </c>
    </row>
    <row r="33" spans="1:3" x14ac:dyDescent="0.3">
      <c r="A33" t="s">
        <v>64</v>
      </c>
      <c r="B33" t="s">
        <v>65</v>
      </c>
      <c r="C33" t="s">
        <v>69</v>
      </c>
    </row>
    <row r="34" spans="1:3" x14ac:dyDescent="0.3">
      <c r="A34" t="s">
        <v>64</v>
      </c>
      <c r="B34" t="s">
        <v>65</v>
      </c>
      <c r="C34" t="s">
        <v>71</v>
      </c>
    </row>
    <row r="35" spans="1:3" x14ac:dyDescent="0.3">
      <c r="A35" t="s">
        <v>64</v>
      </c>
      <c r="B35" t="s">
        <v>65</v>
      </c>
      <c r="C35" t="s">
        <v>66</v>
      </c>
    </row>
    <row r="36" spans="1:3" x14ac:dyDescent="0.3">
      <c r="A36" t="s">
        <v>64</v>
      </c>
      <c r="B36" t="s">
        <v>65</v>
      </c>
      <c r="C36" t="s">
        <v>68</v>
      </c>
    </row>
    <row r="37" spans="1:3" x14ac:dyDescent="0.3">
      <c r="A37" t="s">
        <v>64</v>
      </c>
      <c r="B37" t="s">
        <v>65</v>
      </c>
      <c r="C37" t="s">
        <v>70</v>
      </c>
    </row>
    <row r="38" spans="1:3" x14ac:dyDescent="0.3">
      <c r="A38" t="s">
        <v>64</v>
      </c>
      <c r="B38" t="s">
        <v>65</v>
      </c>
      <c r="C38" t="s">
        <v>67</v>
      </c>
    </row>
    <row r="39" spans="1:3" x14ac:dyDescent="0.3">
      <c r="A39" t="s">
        <v>72</v>
      </c>
      <c r="B39" t="s">
        <v>73</v>
      </c>
      <c r="C39" t="s">
        <v>75</v>
      </c>
    </row>
    <row r="40" spans="1:3" x14ac:dyDescent="0.3">
      <c r="A40" t="s">
        <v>72</v>
      </c>
      <c r="B40" t="s">
        <v>73</v>
      </c>
      <c r="C40" t="s">
        <v>79</v>
      </c>
    </row>
    <row r="41" spans="1:3" x14ac:dyDescent="0.3">
      <c r="A41" t="s">
        <v>72</v>
      </c>
      <c r="B41" t="s">
        <v>73</v>
      </c>
      <c r="C41" t="s">
        <v>74</v>
      </c>
    </row>
    <row r="42" spans="1:3" x14ac:dyDescent="0.3">
      <c r="A42" t="s">
        <v>72</v>
      </c>
      <c r="B42" t="s">
        <v>73</v>
      </c>
      <c r="C42" t="s">
        <v>78</v>
      </c>
    </row>
    <row r="43" spans="1:3" x14ac:dyDescent="0.3">
      <c r="A43" t="s">
        <v>72</v>
      </c>
      <c r="B43" t="s">
        <v>73</v>
      </c>
      <c r="C43" t="s">
        <v>76</v>
      </c>
    </row>
    <row r="44" spans="1:3" x14ac:dyDescent="0.3">
      <c r="A44" t="s">
        <v>80</v>
      </c>
      <c r="B44" t="s">
        <v>81</v>
      </c>
      <c r="C44" t="s">
        <v>83</v>
      </c>
    </row>
    <row r="45" spans="1:3" x14ac:dyDescent="0.3">
      <c r="A45" t="s">
        <v>80</v>
      </c>
      <c r="B45" t="s">
        <v>81</v>
      </c>
      <c r="C45" t="s">
        <v>84</v>
      </c>
    </row>
    <row r="46" spans="1:3" x14ac:dyDescent="0.3">
      <c r="A46" t="s">
        <v>80</v>
      </c>
      <c r="B46" t="s">
        <v>81</v>
      </c>
      <c r="C46" t="s">
        <v>86</v>
      </c>
    </row>
    <row r="47" spans="1:3" x14ac:dyDescent="0.3">
      <c r="A47" t="s">
        <v>80</v>
      </c>
      <c r="B47" t="s">
        <v>81</v>
      </c>
      <c r="C47" t="s">
        <v>85</v>
      </c>
    </row>
    <row r="48" spans="1:3" x14ac:dyDescent="0.3">
      <c r="A48" t="s">
        <v>80</v>
      </c>
      <c r="B48" t="s">
        <v>81</v>
      </c>
      <c r="C48" t="s">
        <v>82</v>
      </c>
    </row>
    <row r="49" spans="1:3" x14ac:dyDescent="0.3">
      <c r="A49" t="s">
        <v>87</v>
      </c>
      <c r="B49" t="s">
        <v>88</v>
      </c>
      <c r="C49" t="s">
        <v>89</v>
      </c>
    </row>
    <row r="50" spans="1:3" x14ac:dyDescent="0.3">
      <c r="A50" t="s">
        <v>87</v>
      </c>
      <c r="B50" t="s">
        <v>88</v>
      </c>
      <c r="C50" t="s">
        <v>90</v>
      </c>
    </row>
    <row r="51" spans="1:3" x14ac:dyDescent="0.3">
      <c r="A51" t="s">
        <v>87</v>
      </c>
      <c r="B51" t="s">
        <v>88</v>
      </c>
      <c r="C51" t="s">
        <v>91</v>
      </c>
    </row>
    <row r="52" spans="1:3" x14ac:dyDescent="0.3">
      <c r="A52" t="s">
        <v>87</v>
      </c>
      <c r="B52" t="s">
        <v>88</v>
      </c>
      <c r="C52" t="s">
        <v>92</v>
      </c>
    </row>
    <row r="53" spans="1:3" x14ac:dyDescent="0.3">
      <c r="A53" t="s">
        <v>93</v>
      </c>
      <c r="B53" t="s">
        <v>94</v>
      </c>
      <c r="C53" t="s">
        <v>95</v>
      </c>
    </row>
    <row r="54" spans="1:3" x14ac:dyDescent="0.3">
      <c r="A54" t="s">
        <v>93</v>
      </c>
      <c r="B54" t="s">
        <v>94</v>
      </c>
      <c r="C54" t="s">
        <v>97</v>
      </c>
    </row>
    <row r="55" spans="1:3" x14ac:dyDescent="0.3">
      <c r="A55" t="s">
        <v>93</v>
      </c>
      <c r="B55" t="s">
        <v>94</v>
      </c>
      <c r="C55" t="s">
        <v>96</v>
      </c>
    </row>
    <row r="56" spans="1:3" x14ac:dyDescent="0.3">
      <c r="A56" t="s">
        <v>93</v>
      </c>
      <c r="B56" t="s">
        <v>94</v>
      </c>
      <c r="C56" t="s">
        <v>98</v>
      </c>
    </row>
    <row r="57" spans="1:3" x14ac:dyDescent="0.3">
      <c r="A57" t="s">
        <v>99</v>
      </c>
      <c r="B57" t="s">
        <v>100</v>
      </c>
      <c r="C57" t="s">
        <v>103</v>
      </c>
    </row>
    <row r="58" spans="1:3" x14ac:dyDescent="0.3">
      <c r="A58" t="s">
        <v>99</v>
      </c>
      <c r="B58" t="s">
        <v>100</v>
      </c>
      <c r="C58" t="s">
        <v>101</v>
      </c>
    </row>
    <row r="59" spans="1:3" x14ac:dyDescent="0.3">
      <c r="A59" t="s">
        <v>99</v>
      </c>
      <c r="B59" t="s">
        <v>100</v>
      </c>
      <c r="C59" t="s">
        <v>102</v>
      </c>
    </row>
    <row r="60" spans="1:3" x14ac:dyDescent="0.3">
      <c r="A60" t="s">
        <v>104</v>
      </c>
      <c r="B60" t="s">
        <v>105</v>
      </c>
      <c r="C60" t="s">
        <v>108</v>
      </c>
    </row>
    <row r="61" spans="1:3" x14ac:dyDescent="0.3">
      <c r="A61" t="s">
        <v>104</v>
      </c>
      <c r="B61" t="s">
        <v>105</v>
      </c>
      <c r="C61" t="s">
        <v>106</v>
      </c>
    </row>
    <row r="62" spans="1:3" x14ac:dyDescent="0.3">
      <c r="A62" t="s">
        <v>104</v>
      </c>
      <c r="B62" t="s">
        <v>105</v>
      </c>
      <c r="C62" t="s">
        <v>107</v>
      </c>
    </row>
    <row r="63" spans="1:3" x14ac:dyDescent="0.3">
      <c r="A63" t="s">
        <v>109</v>
      </c>
      <c r="B63" t="s">
        <v>110</v>
      </c>
      <c r="C63" t="s">
        <v>111</v>
      </c>
    </row>
    <row r="64" spans="1:3" x14ac:dyDescent="0.3">
      <c r="A64" t="s">
        <v>109</v>
      </c>
      <c r="B64" t="s">
        <v>110</v>
      </c>
      <c r="C64" t="s">
        <v>112</v>
      </c>
    </row>
    <row r="65" spans="1:3" x14ac:dyDescent="0.3">
      <c r="A65" t="s">
        <v>113</v>
      </c>
      <c r="B65" t="s">
        <v>114</v>
      </c>
      <c r="C65" t="s">
        <v>115</v>
      </c>
    </row>
    <row r="66" spans="1:3" x14ac:dyDescent="0.3">
      <c r="A66" t="s">
        <v>113</v>
      </c>
      <c r="B66" t="s">
        <v>114</v>
      </c>
      <c r="C66" t="s">
        <v>116</v>
      </c>
    </row>
    <row r="67" spans="1:3" x14ac:dyDescent="0.3">
      <c r="A67" t="s">
        <v>117</v>
      </c>
      <c r="B67" t="s">
        <v>118</v>
      </c>
      <c r="C67" t="s">
        <v>119</v>
      </c>
    </row>
    <row r="68" spans="1:3" x14ac:dyDescent="0.3">
      <c r="A68" t="s">
        <v>117</v>
      </c>
      <c r="B68" t="s">
        <v>118</v>
      </c>
      <c r="C68" t="s">
        <v>120</v>
      </c>
    </row>
    <row r="69" spans="1:3" x14ac:dyDescent="0.3">
      <c r="A69" t="s">
        <v>121</v>
      </c>
      <c r="B69" t="s">
        <v>122</v>
      </c>
      <c r="C69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4" x14ac:dyDescent="0.3"/>
  <sheetData>
    <row r="1" spans="1:4" x14ac:dyDescent="0.3">
      <c r="A1" s="1" t="s">
        <v>124</v>
      </c>
      <c r="B1" s="1" t="s">
        <v>0</v>
      </c>
      <c r="C1" s="1" t="s">
        <v>1</v>
      </c>
      <c r="D1" s="1" t="s">
        <v>125</v>
      </c>
    </row>
    <row r="2" spans="1:4" x14ac:dyDescent="0.3">
      <c r="A2">
        <v>1</v>
      </c>
      <c r="B2" t="s">
        <v>8</v>
      </c>
      <c r="C2" t="s">
        <v>9</v>
      </c>
      <c r="D2">
        <v>10</v>
      </c>
    </row>
    <row r="3" spans="1:4" x14ac:dyDescent="0.3">
      <c r="A3">
        <v>2</v>
      </c>
      <c r="B3" t="s">
        <v>34</v>
      </c>
      <c r="C3" t="s">
        <v>35</v>
      </c>
      <c r="D3">
        <v>8</v>
      </c>
    </row>
    <row r="4" spans="1:4" x14ac:dyDescent="0.3">
      <c r="A4">
        <v>3</v>
      </c>
      <c r="B4" t="s">
        <v>47</v>
      </c>
      <c r="C4" t="s">
        <v>48</v>
      </c>
      <c r="D4">
        <v>7</v>
      </c>
    </row>
    <row r="5" spans="1:4" x14ac:dyDescent="0.3">
      <c r="A5">
        <v>4</v>
      </c>
      <c r="B5" t="s">
        <v>56</v>
      </c>
      <c r="C5" t="s">
        <v>57</v>
      </c>
      <c r="D5">
        <v>6</v>
      </c>
    </row>
    <row r="6" spans="1:4" x14ac:dyDescent="0.3">
      <c r="A6">
        <v>5</v>
      </c>
      <c r="B6" t="s">
        <v>64</v>
      </c>
      <c r="C6" t="s">
        <v>65</v>
      </c>
      <c r="D6">
        <v>6</v>
      </c>
    </row>
    <row r="7" spans="1:4" x14ac:dyDescent="0.3">
      <c r="A7">
        <v>6</v>
      </c>
      <c r="B7" t="s">
        <v>72</v>
      </c>
      <c r="C7" t="s">
        <v>73</v>
      </c>
      <c r="D7">
        <v>5</v>
      </c>
    </row>
    <row r="8" spans="1:4" x14ac:dyDescent="0.3">
      <c r="A8">
        <v>7</v>
      </c>
      <c r="B8" t="s">
        <v>80</v>
      </c>
      <c r="C8" t="s">
        <v>81</v>
      </c>
      <c r="D8">
        <v>5</v>
      </c>
    </row>
    <row r="9" spans="1:4" x14ac:dyDescent="0.3">
      <c r="A9">
        <v>8</v>
      </c>
      <c r="B9" t="s">
        <v>87</v>
      </c>
      <c r="C9" t="s">
        <v>88</v>
      </c>
      <c r="D9">
        <v>4</v>
      </c>
    </row>
    <row r="10" spans="1:4" x14ac:dyDescent="0.3">
      <c r="A10">
        <v>9</v>
      </c>
      <c r="B10" t="s">
        <v>93</v>
      </c>
      <c r="C10" t="s">
        <v>94</v>
      </c>
      <c r="D10">
        <v>4</v>
      </c>
    </row>
    <row r="11" spans="1:4" x14ac:dyDescent="0.3">
      <c r="A11">
        <v>10</v>
      </c>
      <c r="B11" t="s">
        <v>99</v>
      </c>
      <c r="C11" t="s">
        <v>100</v>
      </c>
      <c r="D11">
        <v>3</v>
      </c>
    </row>
    <row r="12" spans="1:4" x14ac:dyDescent="0.3">
      <c r="A12">
        <v>11</v>
      </c>
      <c r="B12" t="s">
        <v>104</v>
      </c>
      <c r="C12" t="s">
        <v>105</v>
      </c>
      <c r="D12">
        <v>3</v>
      </c>
    </row>
    <row r="13" spans="1:4" x14ac:dyDescent="0.3">
      <c r="A13">
        <v>12</v>
      </c>
      <c r="B13" t="s">
        <v>109</v>
      </c>
      <c r="C13" t="s">
        <v>110</v>
      </c>
      <c r="D13">
        <v>2</v>
      </c>
    </row>
    <row r="14" spans="1:4" x14ac:dyDescent="0.3">
      <c r="A14">
        <v>13</v>
      </c>
      <c r="B14" t="s">
        <v>113</v>
      </c>
      <c r="C14" t="s">
        <v>114</v>
      </c>
      <c r="D14">
        <v>2</v>
      </c>
    </row>
    <row r="15" spans="1:4" x14ac:dyDescent="0.3">
      <c r="A15">
        <v>14</v>
      </c>
      <c r="B15" t="s">
        <v>117</v>
      </c>
      <c r="C15" t="s">
        <v>118</v>
      </c>
      <c r="D15">
        <v>2</v>
      </c>
    </row>
    <row r="16" spans="1:4" x14ac:dyDescent="0.3">
      <c r="A16">
        <v>15</v>
      </c>
      <c r="B16" t="s">
        <v>121</v>
      </c>
      <c r="C16" t="s">
        <v>122</v>
      </c>
      <c r="D1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I23" sqref="I23"/>
    </sheetView>
  </sheetViews>
  <sheetFormatPr defaultRowHeight="14.4" x14ac:dyDescent="0.3"/>
  <cols>
    <col min="2" max="2" width="11.77734375" customWidth="1"/>
    <col min="3" max="3" width="15" customWidth="1"/>
    <col min="4" max="4" width="13.44140625" customWidth="1"/>
  </cols>
  <sheetData>
    <row r="1" spans="1:4" x14ac:dyDescent="0.3">
      <c r="A1" s="1" t="s">
        <v>124</v>
      </c>
      <c r="B1" s="1" t="s">
        <v>0</v>
      </c>
      <c r="C1" s="1" t="s">
        <v>1</v>
      </c>
      <c r="D1" s="1" t="s">
        <v>125</v>
      </c>
    </row>
    <row r="2" spans="1:4" x14ac:dyDescent="0.3">
      <c r="A2">
        <v>1</v>
      </c>
      <c r="B2" t="s">
        <v>8</v>
      </c>
      <c r="C2" t="s">
        <v>9</v>
      </c>
      <c r="D2">
        <v>10</v>
      </c>
    </row>
    <row r="3" spans="1:4" x14ac:dyDescent="0.3">
      <c r="A3">
        <v>2</v>
      </c>
      <c r="B3" t="s">
        <v>34</v>
      </c>
      <c r="C3" t="s">
        <v>35</v>
      </c>
      <c r="D3">
        <v>8</v>
      </c>
    </row>
    <row r="4" spans="1:4" x14ac:dyDescent="0.3">
      <c r="A4">
        <v>3</v>
      </c>
      <c r="B4" t="s">
        <v>47</v>
      </c>
      <c r="C4" t="s">
        <v>48</v>
      </c>
      <c r="D4">
        <v>7</v>
      </c>
    </row>
    <row r="5" spans="1:4" x14ac:dyDescent="0.3">
      <c r="A5">
        <v>4</v>
      </c>
      <c r="B5" t="s">
        <v>56</v>
      </c>
      <c r="C5" t="s">
        <v>57</v>
      </c>
      <c r="D5">
        <v>6</v>
      </c>
    </row>
    <row r="6" spans="1:4" x14ac:dyDescent="0.3">
      <c r="A6">
        <v>5</v>
      </c>
      <c r="B6" t="s">
        <v>64</v>
      </c>
      <c r="C6" t="s">
        <v>65</v>
      </c>
      <c r="D6">
        <v>6</v>
      </c>
    </row>
    <row r="7" spans="1:4" x14ac:dyDescent="0.3">
      <c r="A7">
        <v>6</v>
      </c>
      <c r="B7" t="s">
        <v>72</v>
      </c>
      <c r="C7" t="s">
        <v>73</v>
      </c>
      <c r="D7">
        <v>5</v>
      </c>
    </row>
    <row r="8" spans="1:4" x14ac:dyDescent="0.3">
      <c r="A8">
        <v>7</v>
      </c>
      <c r="B8" t="s">
        <v>80</v>
      </c>
      <c r="C8" t="s">
        <v>81</v>
      </c>
      <c r="D8">
        <v>5</v>
      </c>
    </row>
    <row r="9" spans="1:4" x14ac:dyDescent="0.3">
      <c r="A9">
        <v>8</v>
      </c>
      <c r="B9" t="s">
        <v>87</v>
      </c>
      <c r="C9" t="s">
        <v>88</v>
      </c>
      <c r="D9">
        <v>4</v>
      </c>
    </row>
    <row r="10" spans="1:4" x14ac:dyDescent="0.3">
      <c r="A10">
        <v>9</v>
      </c>
      <c r="B10" t="s">
        <v>93</v>
      </c>
      <c r="C10" t="s">
        <v>94</v>
      </c>
      <c r="D10">
        <v>4</v>
      </c>
    </row>
    <row r="11" spans="1:4" x14ac:dyDescent="0.3">
      <c r="A11">
        <v>10</v>
      </c>
      <c r="B11" t="s">
        <v>99</v>
      </c>
      <c r="C11" t="s">
        <v>100</v>
      </c>
      <c r="D11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C776-BE0A-4710-BFC0-12599315C853}">
  <dimension ref="G4:P10"/>
  <sheetViews>
    <sheetView tabSelected="1" topLeftCell="F3" workbookViewId="0">
      <selection activeCell="O23" sqref="O23"/>
    </sheetView>
  </sheetViews>
  <sheetFormatPr defaultRowHeight="14.4" x14ac:dyDescent="0.3"/>
  <cols>
    <col min="12" max="12" width="10.88671875" customWidth="1"/>
  </cols>
  <sheetData>
    <row r="4" spans="7:16" ht="18" x14ac:dyDescent="0.35">
      <c r="J4" s="3" t="s">
        <v>130</v>
      </c>
      <c r="K4" s="4"/>
      <c r="L4" s="4"/>
      <c r="M4" s="4"/>
    </row>
    <row r="6" spans="7:16" x14ac:dyDescent="0.3">
      <c r="G6" s="5" t="s">
        <v>126</v>
      </c>
      <c r="H6" s="6"/>
      <c r="J6" s="5" t="s">
        <v>127</v>
      </c>
      <c r="K6" s="6"/>
      <c r="M6" s="5" t="s">
        <v>128</v>
      </c>
      <c r="N6" s="6"/>
      <c r="O6" s="9"/>
      <c r="P6" s="10"/>
    </row>
    <row r="7" spans="7:16" x14ac:dyDescent="0.3">
      <c r="G7" s="7">
        <f>COUNTA(Customer_Order_Count!B2:B16)</f>
        <v>15</v>
      </c>
      <c r="H7" s="8"/>
      <c r="J7" s="7">
        <f>COUNTA(Unique_Customer_Orders!C2:C69)</f>
        <v>68</v>
      </c>
      <c r="K7" s="8"/>
      <c r="M7" s="7"/>
      <c r="N7" s="8">
        <v>10</v>
      </c>
      <c r="O7" s="11"/>
      <c r="P7" s="12"/>
    </row>
    <row r="9" spans="7:16" ht="15.6" x14ac:dyDescent="0.3">
      <c r="J9" s="13" t="s">
        <v>129</v>
      </c>
      <c r="K9" s="14"/>
      <c r="L9" s="15"/>
    </row>
    <row r="10" spans="7:16" ht="15.6" x14ac:dyDescent="0.3">
      <c r="J10" s="16"/>
      <c r="K10" s="17">
        <f>J7/G7</f>
        <v>4.5333333333333332</v>
      </c>
      <c r="L10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Customer_Order_Dataset</vt:lpstr>
      <vt:lpstr>Unique_Customer_Orders</vt:lpstr>
      <vt:lpstr>Customer_Order_Count</vt:lpstr>
      <vt:lpstr>Top_10_Customers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2026-09-27T04:13:20Z</dcterms:created>
  <dcterms:modified xsi:type="dcterms:W3CDTF">2026-09-27T05:59:49Z</dcterms:modified>
</cp:coreProperties>
</file>