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eda Internship\Sakshi\Super_Store_DataCleaning\Task16_Simple_Profit_Analysis\Excel\"/>
    </mc:Choice>
  </mc:AlternateContent>
  <xr:revisionPtr revIDLastSave="0" documentId="8_{D4175AD7-8AB3-45C4-94C8-EA10DDE4EA3C}" xr6:coauthVersionLast="47" xr6:coauthVersionMax="47" xr10:uidLastSave="{00000000-0000-0000-0000-000000000000}"/>
  <bookViews>
    <workbookView xWindow="11424" yWindow="0" windowWidth="11712" windowHeight="12336" activeTab="1" xr2:uid="{8FE672DE-83E6-4FA1-8F4C-C46221412EFB}"/>
  </bookViews>
  <sheets>
    <sheet name="Original_Data" sheetId="1" r:id="rId1"/>
    <sheet name="Profit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8" i="2" l="1"/>
  <c r="B8" i="2"/>
  <c r="C6" i="2"/>
  <c r="C7" i="2"/>
  <c r="C5" i="2"/>
  <c r="B7" i="2"/>
  <c r="B6" i="2"/>
  <c r="B5" i="2"/>
</calcChain>
</file>

<file path=xl/sharedStrings.xml><?xml version="1.0" encoding="utf-8"?>
<sst xmlns="http://schemas.openxmlformats.org/spreadsheetml/2006/main" count="341" uniqueCount="143">
  <si>
    <t>Order Date</t>
  </si>
  <si>
    <t>Order ID</t>
  </si>
  <si>
    <t>Region</t>
  </si>
  <si>
    <t>State</t>
  </si>
  <si>
    <t>Customer Name</t>
  </si>
  <si>
    <t>Category</t>
  </si>
  <si>
    <t>Sub-Category</t>
  </si>
  <si>
    <t>Product Name</t>
  </si>
  <si>
    <t>Quantity</t>
  </si>
  <si>
    <t>Unit Price</t>
  </si>
  <si>
    <t>Sales</t>
  </si>
  <si>
    <t>Profit</t>
  </si>
  <si>
    <t>ORD-10082</t>
  </si>
  <si>
    <t>West</t>
  </si>
  <si>
    <t>California</t>
  </si>
  <si>
    <t>Manish Yadav</t>
  </si>
  <si>
    <t>Furniture</t>
  </si>
  <si>
    <t>Tables</t>
  </si>
  <si>
    <t>Conference Table</t>
  </si>
  <si>
    <t>ORD-10188</t>
  </si>
  <si>
    <t>Nevada</t>
  </si>
  <si>
    <t>Karan Agarwal</t>
  </si>
  <si>
    <t>Furnishings</t>
  </si>
  <si>
    <t>Desk Lamp</t>
  </si>
  <si>
    <t>ORD-10300</t>
  </si>
  <si>
    <t>Pooja Gupta</t>
  </si>
  <si>
    <t>Chairs</t>
  </si>
  <si>
    <t>Folding Chair</t>
  </si>
  <si>
    <t>ORD-10049</t>
  </si>
  <si>
    <t>South</t>
  </si>
  <si>
    <t>North Carolina</t>
  </si>
  <si>
    <t>Office Supplies</t>
  </si>
  <si>
    <t>Binders</t>
  </si>
  <si>
    <t>Ring Binder</t>
  </si>
  <si>
    <t>ORD-10387</t>
  </si>
  <si>
    <t>Central</t>
  </si>
  <si>
    <t>Ohio</t>
  </si>
  <si>
    <t>Arjun Rao</t>
  </si>
  <si>
    <t>Storage</t>
  </si>
  <si>
    <t>Storage Box</t>
  </si>
  <si>
    <t>ORD-10126</t>
  </si>
  <si>
    <t>East</t>
  </si>
  <si>
    <t>New Jersey</t>
  </si>
  <si>
    <t>Kavya Nair</t>
  </si>
  <si>
    <t>File Binder</t>
  </si>
  <si>
    <t>ORD-10535</t>
  </si>
  <si>
    <t>Georgia</t>
  </si>
  <si>
    <t>Siddharth Jain</t>
  </si>
  <si>
    <t>Paper</t>
  </si>
  <si>
    <t>Notebook Paper</t>
  </si>
  <si>
    <t>ORD-10194</t>
  </si>
  <si>
    <t>Meera Iyer</t>
  </si>
  <si>
    <t>Technology</t>
  </si>
  <si>
    <t>Phones</t>
  </si>
  <si>
    <t>Budget Phone</t>
  </si>
  <si>
    <t>ORD-10216</t>
  </si>
  <si>
    <t>Sneha Desai</t>
  </si>
  <si>
    <t>Whiteboard</t>
  </si>
  <si>
    <t>ORD-10588</t>
  </si>
  <si>
    <t>Laptops</t>
  </si>
  <si>
    <t>Business Laptop</t>
  </si>
  <si>
    <t>ORD-10225</t>
  </si>
  <si>
    <t>Florida</t>
  </si>
  <si>
    <t>Isha Kulkarni</t>
  </si>
  <si>
    <t>ORD-10060</t>
  </si>
  <si>
    <t>New York</t>
  </si>
  <si>
    <t>Vikram Joshi</t>
  </si>
  <si>
    <t>Business Phone</t>
  </si>
  <si>
    <t>ORD-10567</t>
  </si>
  <si>
    <t>ORD-10162</t>
  </si>
  <si>
    <t>Oregon</t>
  </si>
  <si>
    <t>Ananya Patel</t>
  </si>
  <si>
    <t>File Cabinet</t>
  </si>
  <si>
    <t>ORD-10303</t>
  </si>
  <si>
    <t>Simran Kaur</t>
  </si>
  <si>
    <t>ORD-10104</t>
  </si>
  <si>
    <t>Presentation Binder</t>
  </si>
  <si>
    <t>ORD-10525</t>
  </si>
  <si>
    <t>ORD-10285</t>
  </si>
  <si>
    <t>ORD-10219</t>
  </si>
  <si>
    <t>Neha Kapoor</t>
  </si>
  <si>
    <t>Art Supplies</t>
  </si>
  <si>
    <t>Drawing Kit</t>
  </si>
  <si>
    <t>ORD-10482</t>
  </si>
  <si>
    <t>Office Chair</t>
  </si>
  <si>
    <t>ORD-10485</t>
  </si>
  <si>
    <t>ORD-10038</t>
  </si>
  <si>
    <t>Riya Malhotra</t>
  </si>
  <si>
    <t>Tablets</t>
  </si>
  <si>
    <t>Android Tablet</t>
  </si>
  <si>
    <t>ORD-10459</t>
  </si>
  <si>
    <t>Minnesota</t>
  </si>
  <si>
    <t>Computer Table</t>
  </si>
  <si>
    <t>ORD-10185</t>
  </si>
  <si>
    <t>Rohan Mehta</t>
  </si>
  <si>
    <t>ORD-10184</t>
  </si>
  <si>
    <t>ORD-10366</t>
  </si>
  <si>
    <t>Nikhil Patil</t>
  </si>
  <si>
    <t>ORD-10275</t>
  </si>
  <si>
    <t>ORD-10406</t>
  </si>
  <si>
    <t>ORD-10512</t>
  </si>
  <si>
    <t>Michigan</t>
  </si>
  <si>
    <t>Accessories</t>
  </si>
  <si>
    <t>Keyboard</t>
  </si>
  <si>
    <t>ORD-10258</t>
  </si>
  <si>
    <t>ORD-10161</t>
  </si>
  <si>
    <t>Pennsylvania</t>
  </si>
  <si>
    <t>Gaming Laptop</t>
  </si>
  <si>
    <t>ORD-10547</t>
  </si>
  <si>
    <t>Massachusetts</t>
  </si>
  <si>
    <t>Markers</t>
  </si>
  <si>
    <t>ORD-10341</t>
  </si>
  <si>
    <t>Washington</t>
  </si>
  <si>
    <t>Windows Tablet</t>
  </si>
  <si>
    <t>ORD-10228</t>
  </si>
  <si>
    <t>ORD-10578</t>
  </si>
  <si>
    <t>Illinois</t>
  </si>
  <si>
    <t>Headset</t>
  </si>
  <si>
    <t>ORD-10436</t>
  </si>
  <si>
    <t>ORD-10093</t>
  </si>
  <si>
    <t>ORD-10209</t>
  </si>
  <si>
    <t>Office Table</t>
  </si>
  <si>
    <t>ORD-10532</t>
  </si>
  <si>
    <t>Executive Chair</t>
  </si>
  <si>
    <t>ORD-10592</t>
  </si>
  <si>
    <t>Copy Paper</t>
  </si>
  <si>
    <t>ORD-10238</t>
  </si>
  <si>
    <t>ORD-10444</t>
  </si>
  <si>
    <t>Drawer Unit</t>
  </si>
  <si>
    <t>ORD-10472</t>
  </si>
  <si>
    <t>ORD-10290</t>
  </si>
  <si>
    <t>ORD-10079</t>
  </si>
  <si>
    <t>Ultrabook</t>
  </si>
  <si>
    <t>Profit Summary</t>
  </si>
  <si>
    <t xml:space="preserve">Total Profit </t>
  </si>
  <si>
    <t>Average Profit</t>
  </si>
  <si>
    <t>Total</t>
  </si>
  <si>
    <t>Profit Analysis</t>
  </si>
  <si>
    <t>Technology generated the highest total profit.</t>
  </si>
  <si>
    <t>Furniture generated the second-highest total profit.</t>
  </si>
  <si>
    <t>Office Supplies generated the lowest total profit.</t>
  </si>
  <si>
    <t>Technology also has the highest average profit per record.</t>
  </si>
  <si>
    <t>The analysis helps compare profitability across product categories.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</si>
</sst>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1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2" fontId="1" fillId="0" borderId="1" xfId="0" applyNumberFormat="1" applyFont="1" applyBorder="1" applyAlignment="1">
      <alignment horizontal="center" vertical="top"/>
    </xf>
    <xf numFmtId="2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49" fontId="0" fillId="0" borderId="0" xfId="0" applyNumberFormat="1"/>
    <xf numFmtId="1" fontId="2" fillId="0" borderId="1" xfId="0" applyNumberFormat="1" applyFont="1" applyBorder="1" applyAlignment="1">
      <alignment horizontal="center" vertical="top"/>
    </xf>
    <xf numFmtId="1" fontId="0" fillId="0" borderId="0" xfId="0" applyNumberFormat="1"/>
    <xf numFmtId="1" fontId="1" fillId="0" borderId="1" xfId="0" applyNumberFormat="1" applyFont="1" applyBorder="1" applyAlignment="1">
      <alignment horizontal="center" vertical="top"/>
    </xf>
    <xf numFmtId="166" fontId="0" fillId="0" borderId="0" xfId="0" applyNumberFormat="1"/>
    <xf numFmtId="166" fontId="4" fillId="0" borderId="0" xfId="0" applyNumberFormat="1" applyFont="1"/>
    <xf numFmtId="0" fontId="0" fillId="0" borderId="2" xfId="0" applyBorder="1"/>
    <xf numFmtId="166" fontId="0" fillId="0" borderId="2" xfId="0" applyNumberFormat="1" applyBorder="1"/>
    <xf numFmtId="0" fontId="3" fillId="0" borderId="0" xfId="0" applyFont="1"/>
    <xf numFmtId="0" fontId="3" fillId="2" borderId="0" xfId="0" applyFont="1" applyFill="1"/>
    <xf numFmtId="0" fontId="3" fillId="3" borderId="2" xfId="0" applyFont="1" applyFill="1" applyBorder="1"/>
    <xf numFmtId="166" fontId="3" fillId="3" borderId="2" xfId="0" applyNumberFormat="1" applyFont="1" applyFill="1" applyBorder="1"/>
    <xf numFmtId="0" fontId="3" fillId="4" borderId="2" xfId="0" applyFont="1" applyFill="1" applyBorder="1"/>
    <xf numFmtId="166" fontId="3" fillId="4" borderId="2" xfId="0" applyNumberFormat="1" applyFont="1" applyFill="1" applyBorder="1"/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66" fontId="5" fillId="0" borderId="0" xfId="0" applyNumberFormat="1" applyFont="1"/>
    <xf numFmtId="0" fontId="6" fillId="0" borderId="0" xfId="0" applyFont="1" applyAlignment="1">
      <alignment vertical="center"/>
    </xf>
  </cellXfs>
  <cellStyles count="1">
    <cellStyle name="Normal" xfId="0" builtinId="0"/>
  </cellStyles>
  <dxfs count="9">
    <dxf>
      <numFmt numFmtId="1" formatCode="0"/>
    </dxf>
    <dxf>
      <numFmt numFmtId="1" formatCode="0"/>
    </dxf>
    <dxf>
      <numFmt numFmtId="2" formatCode="0.00"/>
    </dxf>
    <dxf>
      <numFmt numFmtId="2" formatCode="0.00"/>
    </dxf>
    <dxf>
      <numFmt numFmtId="30" formatCode="@"/>
    </dxf>
    <dxf>
      <numFmt numFmtId="19" formatCode="dd/mm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Total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Profit_Summary!$B$4</c:f>
              <c:strCache>
                <c:ptCount val="1"/>
                <c:pt idx="0">
                  <c:v>Total Profit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Profit_Summary!$A$5:$A$7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Profit_Summary!$B$5:$B$7</c:f>
              <c:numCache>
                <c:formatCode>"₹"\ #,##0.00</c:formatCode>
                <c:ptCount val="3"/>
                <c:pt idx="0">
                  <c:v>2918.7999999999997</c:v>
                </c:pt>
                <c:pt idx="1">
                  <c:v>10254.24</c:v>
                </c:pt>
                <c:pt idx="2">
                  <c:v>1106.21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38-4692-9E49-88D9C893562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416393679"/>
        <c:axId val="416395119"/>
      </c:barChart>
      <c:catAx>
        <c:axId val="416393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95119"/>
        <c:crosses val="autoZero"/>
        <c:auto val="1"/>
        <c:lblAlgn val="ctr"/>
        <c:lblOffset val="100"/>
        <c:noMultiLvlLbl val="0"/>
      </c:catAx>
      <c:valAx>
        <c:axId val="416395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3936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AVERAGE PROFIT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Profit_Summary!$C$4</c:f>
              <c:strCache>
                <c:ptCount val="1"/>
                <c:pt idx="0">
                  <c:v>Average Profit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Profit_Summary!$A$5:$A$7</c:f>
              <c:strCache>
                <c:ptCount val="3"/>
                <c:pt idx="0">
                  <c:v>Furniture</c:v>
                </c:pt>
                <c:pt idx="1">
                  <c:v>Technology</c:v>
                </c:pt>
                <c:pt idx="2">
                  <c:v>Office Supplies</c:v>
                </c:pt>
              </c:strCache>
            </c:strRef>
          </c:cat>
          <c:val>
            <c:numRef>
              <c:f>Profit_Summary!$C$5:$C$7</c:f>
              <c:numCache>
                <c:formatCode>"₹"\ #,##0.00</c:formatCode>
                <c:ptCount val="3"/>
                <c:pt idx="0">
                  <c:v>208.48571428571427</c:v>
                </c:pt>
                <c:pt idx="1">
                  <c:v>683.61599999999999</c:v>
                </c:pt>
                <c:pt idx="2">
                  <c:v>69.138125000000002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7-4C26-949F-DFACF7A9636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16878175"/>
        <c:axId val="516871455"/>
      </c:barChart>
      <c:catAx>
        <c:axId val="516878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71455"/>
        <c:crosses val="autoZero"/>
        <c:auto val="1"/>
        <c:lblAlgn val="ctr"/>
        <c:lblOffset val="100"/>
        <c:noMultiLvlLbl val="0"/>
      </c:catAx>
      <c:valAx>
        <c:axId val="51687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68781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9</xdr:row>
      <xdr:rowOff>22860</xdr:rowOff>
    </xdr:from>
    <xdr:to>
      <xdr:col>1</xdr:col>
      <xdr:colOff>2072640</xdr:colOff>
      <xdr:row>24</xdr:row>
      <xdr:rowOff>175260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4954710-1E71-A6A4-0775-2AF3FA1276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2286000</xdr:colOff>
      <xdr:row>9</xdr:row>
      <xdr:rowOff>22860</xdr:rowOff>
    </xdr:from>
    <xdr:to>
      <xdr:col>6</xdr:col>
      <xdr:colOff>220980</xdr:colOff>
      <xdr:row>25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949921F-9E47-4BEF-4F59-5D5C8FD2DA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01ABF0-2666-4131-993C-669C5E689310}" name="Table1" displayName="Table1" ref="A1:L46" totalsRowShown="0" headerRowDxfId="8" headerRowBorderDxfId="7" tableBorderDxfId="6">
  <autoFilter ref="A1:L46" xr:uid="{8801ABF0-2666-4131-993C-669C5E689310}"/>
  <tableColumns count="12">
    <tableColumn id="1" xr3:uid="{21368DDB-8DBE-42D5-BE8D-9D7E394FD98C}" name="Order Date" dataDxfId="5"/>
    <tableColumn id="2" xr3:uid="{73E21388-D2F5-4A83-9B30-037167FA179D}" name="Order ID"/>
    <tableColumn id="3" xr3:uid="{91EB2DDA-30F6-4963-A4F7-BAAC802FE967}" name="Region"/>
    <tableColumn id="4" xr3:uid="{9DE568D0-D204-4D6C-BCCC-9C2F3FEEFAB9}" name="State"/>
    <tableColumn id="5" xr3:uid="{14A5F306-3F44-4DCA-B9A4-A07A2F0E3F73}" name="Customer Name"/>
    <tableColumn id="6" xr3:uid="{DCE9AF25-6C4D-4CE7-A645-36BDEAF567CE}" name="Category"/>
    <tableColumn id="7" xr3:uid="{B1435D60-5D79-4D51-9B3A-52C67FE0EECA}" name="Sub-Category"/>
    <tableColumn id="8" xr3:uid="{2E5F8D8A-247B-4036-9835-D2C9FDC8BA65}" name="Product Name" dataDxfId="4"/>
    <tableColumn id="9" xr3:uid="{FD193630-E3EF-41E1-B715-1C2BE289A532}" name="Quantity" dataDxfId="3"/>
    <tableColumn id="10" xr3:uid="{8A562E04-9EC9-4A5D-8363-BF5974634BE7}" name="Unit Price" dataDxfId="1"/>
    <tableColumn id="11" xr3:uid="{29145839-E520-4B06-AB8C-F217B1C8F138}" name="Sales" dataDxfId="2"/>
    <tableColumn id="12" xr3:uid="{EC317082-2B92-4F70-8F5C-C3CC66453CEC}" name="Profit" dataDxfId="0"/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57D1FC-DE60-4E41-972D-3759B3F71E7D}">
  <dimension ref="A1:L46"/>
  <sheetViews>
    <sheetView topLeftCell="I1" workbookViewId="0">
      <selection activeCell="O19" sqref="O19"/>
    </sheetView>
  </sheetViews>
  <sheetFormatPr defaultRowHeight="14.4" x14ac:dyDescent="0.3"/>
  <cols>
    <col min="1" max="1" width="12" style="1" customWidth="1"/>
    <col min="2" max="2" width="9.88671875" customWidth="1"/>
    <col min="5" max="5" width="16.44140625" customWidth="1"/>
    <col min="6" max="6" width="10.44140625" customWidth="1"/>
    <col min="7" max="7" width="14.33203125" customWidth="1"/>
    <col min="8" max="8" width="15" style="7" customWidth="1"/>
    <col min="9" max="9" width="10.21875" style="5" customWidth="1"/>
    <col min="10" max="10" width="11" style="9" customWidth="1"/>
    <col min="11" max="11" width="8.88671875" style="5"/>
    <col min="12" max="12" width="8.88671875" style="9"/>
  </cols>
  <sheetData>
    <row r="1" spans="1:12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6" t="s">
        <v>7</v>
      </c>
      <c r="I1" s="4" t="s">
        <v>8</v>
      </c>
      <c r="J1" s="8" t="s">
        <v>9</v>
      </c>
      <c r="K1" s="4" t="s">
        <v>10</v>
      </c>
      <c r="L1" s="10" t="s">
        <v>11</v>
      </c>
    </row>
    <row r="2" spans="1:12" x14ac:dyDescent="0.3">
      <c r="A2" s="1">
        <v>45658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7" t="s">
        <v>18</v>
      </c>
      <c r="I2" s="5">
        <v>1</v>
      </c>
      <c r="J2" s="9">
        <v>472.94</v>
      </c>
      <c r="K2" s="5">
        <v>472.94</v>
      </c>
      <c r="L2" s="9">
        <v>12.43</v>
      </c>
    </row>
    <row r="3" spans="1:12" x14ac:dyDescent="0.3">
      <c r="A3" s="1">
        <v>45658</v>
      </c>
      <c r="B3" t="s">
        <v>19</v>
      </c>
      <c r="C3" t="s">
        <v>13</v>
      </c>
      <c r="D3" t="s">
        <v>20</v>
      </c>
      <c r="E3" t="s">
        <v>21</v>
      </c>
      <c r="F3" t="s">
        <v>16</v>
      </c>
      <c r="G3" t="s">
        <v>22</v>
      </c>
      <c r="H3" s="7" t="s">
        <v>23</v>
      </c>
      <c r="I3" s="5">
        <v>3</v>
      </c>
      <c r="J3" s="9">
        <v>673.31</v>
      </c>
      <c r="K3" s="5">
        <v>2019.93</v>
      </c>
      <c r="L3" s="9">
        <v>193.79</v>
      </c>
    </row>
    <row r="4" spans="1:12" x14ac:dyDescent="0.3">
      <c r="A4" s="1">
        <v>45659</v>
      </c>
      <c r="B4" t="s">
        <v>24</v>
      </c>
      <c r="C4" t="s">
        <v>13</v>
      </c>
      <c r="D4" t="s">
        <v>14</v>
      </c>
      <c r="E4" t="s">
        <v>25</v>
      </c>
      <c r="F4" t="s">
        <v>16</v>
      </c>
      <c r="G4" t="s">
        <v>26</v>
      </c>
      <c r="H4" s="7" t="s">
        <v>27</v>
      </c>
      <c r="I4" s="5">
        <v>7</v>
      </c>
      <c r="J4" s="9">
        <v>107.91</v>
      </c>
      <c r="K4" s="5">
        <v>755.37</v>
      </c>
      <c r="L4" s="9">
        <v>111.14</v>
      </c>
    </row>
    <row r="5" spans="1:12" x14ac:dyDescent="0.3">
      <c r="A5" s="1">
        <v>45661</v>
      </c>
      <c r="B5" t="s">
        <v>28</v>
      </c>
      <c r="C5" t="s">
        <v>29</v>
      </c>
      <c r="D5" t="s">
        <v>30</v>
      </c>
      <c r="E5" t="s">
        <v>25</v>
      </c>
      <c r="F5" t="s">
        <v>31</v>
      </c>
      <c r="G5" t="s">
        <v>32</v>
      </c>
      <c r="H5" s="7" t="s">
        <v>33</v>
      </c>
      <c r="I5" s="5">
        <v>4</v>
      </c>
      <c r="J5" s="9">
        <v>179.87</v>
      </c>
      <c r="K5" s="5">
        <v>719.48</v>
      </c>
      <c r="L5" s="9">
        <v>171.27</v>
      </c>
    </row>
    <row r="6" spans="1:12" x14ac:dyDescent="0.3">
      <c r="A6" s="1">
        <v>45661</v>
      </c>
      <c r="B6" t="s">
        <v>34</v>
      </c>
      <c r="C6" t="s">
        <v>35</v>
      </c>
      <c r="D6" t="s">
        <v>36</v>
      </c>
      <c r="E6" t="s">
        <v>37</v>
      </c>
      <c r="F6" t="s">
        <v>31</v>
      </c>
      <c r="G6" t="s">
        <v>38</v>
      </c>
      <c r="H6" s="7" t="s">
        <v>39</v>
      </c>
      <c r="I6" s="5">
        <v>4</v>
      </c>
      <c r="J6" s="9">
        <v>133.32</v>
      </c>
      <c r="K6" s="5">
        <v>533.28</v>
      </c>
      <c r="L6" s="9">
        <v>30.67</v>
      </c>
    </row>
    <row r="7" spans="1:12" x14ac:dyDescent="0.3">
      <c r="A7" s="1">
        <v>45661</v>
      </c>
      <c r="B7" t="s">
        <v>40</v>
      </c>
      <c r="C7" t="s">
        <v>41</v>
      </c>
      <c r="D7" t="s">
        <v>42</v>
      </c>
      <c r="E7" t="s">
        <v>43</v>
      </c>
      <c r="F7" t="s">
        <v>31</v>
      </c>
      <c r="G7" t="s">
        <v>32</v>
      </c>
      <c r="H7" s="7" t="s">
        <v>44</v>
      </c>
      <c r="I7" s="5">
        <v>5</v>
      </c>
      <c r="J7" s="9">
        <v>15.33</v>
      </c>
      <c r="K7" s="5">
        <v>76.650000000000006</v>
      </c>
      <c r="L7" s="9">
        <v>17.850000000000001</v>
      </c>
    </row>
    <row r="8" spans="1:12" x14ac:dyDescent="0.3">
      <c r="A8" s="1">
        <v>45662</v>
      </c>
      <c r="B8" t="s">
        <v>45</v>
      </c>
      <c r="C8" t="s">
        <v>29</v>
      </c>
      <c r="D8" t="s">
        <v>46</v>
      </c>
      <c r="E8" t="s">
        <v>47</v>
      </c>
      <c r="F8" t="s">
        <v>31</v>
      </c>
      <c r="G8" t="s">
        <v>48</v>
      </c>
      <c r="H8" s="7" t="s">
        <v>49</v>
      </c>
      <c r="I8" s="5">
        <v>2</v>
      </c>
      <c r="J8" s="9">
        <v>20.13</v>
      </c>
      <c r="K8" s="5">
        <v>40.26</v>
      </c>
      <c r="L8" s="9">
        <v>9.98</v>
      </c>
    </row>
    <row r="9" spans="1:12" x14ac:dyDescent="0.3">
      <c r="A9" s="1">
        <v>45662</v>
      </c>
      <c r="B9" t="s">
        <v>50</v>
      </c>
      <c r="C9" t="s">
        <v>35</v>
      </c>
      <c r="D9" t="s">
        <v>36</v>
      </c>
      <c r="E9" t="s">
        <v>51</v>
      </c>
      <c r="F9" t="s">
        <v>52</v>
      </c>
      <c r="G9" t="s">
        <v>53</v>
      </c>
      <c r="H9" s="7" t="s">
        <v>54</v>
      </c>
      <c r="I9" s="5">
        <v>7</v>
      </c>
      <c r="J9" s="9">
        <v>1704.74</v>
      </c>
      <c r="K9" s="5">
        <v>11933.18</v>
      </c>
      <c r="L9" s="9">
        <v>2227.3200000000002</v>
      </c>
    </row>
    <row r="10" spans="1:12" x14ac:dyDescent="0.3">
      <c r="A10" s="1">
        <v>45662</v>
      </c>
      <c r="B10" t="s">
        <v>55</v>
      </c>
      <c r="C10" t="s">
        <v>29</v>
      </c>
      <c r="D10" t="s">
        <v>46</v>
      </c>
      <c r="E10" t="s">
        <v>56</v>
      </c>
      <c r="F10" t="s">
        <v>16</v>
      </c>
      <c r="G10" t="s">
        <v>22</v>
      </c>
      <c r="H10" s="7" t="s">
        <v>57</v>
      </c>
      <c r="I10" s="5">
        <v>2</v>
      </c>
      <c r="J10" s="9">
        <v>624.91</v>
      </c>
      <c r="K10" s="5">
        <v>1249.82</v>
      </c>
      <c r="L10" s="9">
        <v>116.35</v>
      </c>
    </row>
    <row r="11" spans="1:12" x14ac:dyDescent="0.3">
      <c r="A11" s="1">
        <v>45663</v>
      </c>
      <c r="B11" t="s">
        <v>58</v>
      </c>
      <c r="C11" t="s">
        <v>29</v>
      </c>
      <c r="D11" t="s">
        <v>30</v>
      </c>
      <c r="E11" t="s">
        <v>51</v>
      </c>
      <c r="F11" t="s">
        <v>52</v>
      </c>
      <c r="G11" t="s">
        <v>59</v>
      </c>
      <c r="H11" s="7" t="s">
        <v>60</v>
      </c>
      <c r="I11" s="5">
        <v>5</v>
      </c>
      <c r="J11" s="9">
        <v>371.55</v>
      </c>
      <c r="K11" s="5">
        <v>1857.75</v>
      </c>
      <c r="L11" s="9">
        <v>111.83</v>
      </c>
    </row>
    <row r="12" spans="1:12" x14ac:dyDescent="0.3">
      <c r="A12" s="1">
        <v>45664</v>
      </c>
      <c r="B12" t="s">
        <v>61</v>
      </c>
      <c r="C12" t="s">
        <v>29</v>
      </c>
      <c r="D12" t="s">
        <v>62</v>
      </c>
      <c r="E12" t="s">
        <v>63</v>
      </c>
      <c r="F12" t="s">
        <v>52</v>
      </c>
      <c r="G12" t="s">
        <v>53</v>
      </c>
      <c r="H12" s="7" t="s">
        <v>54</v>
      </c>
      <c r="I12" s="5">
        <v>2</v>
      </c>
      <c r="J12" s="9">
        <v>344.52</v>
      </c>
      <c r="K12" s="5">
        <v>689.04</v>
      </c>
      <c r="L12" s="9">
        <v>65.27</v>
      </c>
    </row>
    <row r="13" spans="1:12" x14ac:dyDescent="0.3">
      <c r="A13" s="1">
        <v>45664</v>
      </c>
      <c r="B13" t="s">
        <v>64</v>
      </c>
      <c r="C13" t="s">
        <v>41</v>
      </c>
      <c r="D13" t="s">
        <v>65</v>
      </c>
      <c r="E13" t="s">
        <v>66</v>
      </c>
      <c r="F13" t="s">
        <v>52</v>
      </c>
      <c r="G13" t="s">
        <v>53</v>
      </c>
      <c r="H13" s="7" t="s">
        <v>67</v>
      </c>
      <c r="I13" s="5">
        <v>3</v>
      </c>
      <c r="J13" s="9">
        <v>1294.74</v>
      </c>
      <c r="K13" s="5">
        <v>3884.22</v>
      </c>
      <c r="L13" s="9">
        <v>257.41000000000003</v>
      </c>
    </row>
    <row r="14" spans="1:12" x14ac:dyDescent="0.3">
      <c r="A14" s="1">
        <v>45664</v>
      </c>
      <c r="B14" t="s">
        <v>68</v>
      </c>
      <c r="C14" t="s">
        <v>41</v>
      </c>
      <c r="D14" t="s">
        <v>65</v>
      </c>
      <c r="E14" t="s">
        <v>51</v>
      </c>
      <c r="F14" t="s">
        <v>31</v>
      </c>
      <c r="G14" t="s">
        <v>48</v>
      </c>
      <c r="H14" s="7" t="s">
        <v>49</v>
      </c>
      <c r="I14" s="5">
        <v>2</v>
      </c>
      <c r="J14" s="9">
        <v>86.12</v>
      </c>
      <c r="K14" s="5">
        <v>172.24</v>
      </c>
      <c r="L14" s="9">
        <v>26.71</v>
      </c>
    </row>
    <row r="15" spans="1:12" x14ac:dyDescent="0.3">
      <c r="A15" s="1">
        <v>45664</v>
      </c>
      <c r="B15" t="s">
        <v>69</v>
      </c>
      <c r="C15" t="s">
        <v>13</v>
      </c>
      <c r="D15" t="s">
        <v>70</v>
      </c>
      <c r="E15" t="s">
        <v>71</v>
      </c>
      <c r="F15" t="s">
        <v>31</v>
      </c>
      <c r="G15" t="s">
        <v>38</v>
      </c>
      <c r="H15" s="7" t="s">
        <v>72</v>
      </c>
      <c r="I15" s="5">
        <v>3</v>
      </c>
      <c r="J15" s="9">
        <v>83.23</v>
      </c>
      <c r="K15" s="5">
        <v>249.69</v>
      </c>
      <c r="L15" s="9">
        <v>12.54</v>
      </c>
    </row>
    <row r="16" spans="1:12" x14ac:dyDescent="0.3">
      <c r="A16" s="1">
        <v>45665</v>
      </c>
      <c r="B16" t="s">
        <v>73</v>
      </c>
      <c r="C16" t="s">
        <v>13</v>
      </c>
      <c r="D16" t="s">
        <v>70</v>
      </c>
      <c r="E16" t="s">
        <v>74</v>
      </c>
      <c r="F16" t="s">
        <v>16</v>
      </c>
      <c r="G16" t="s">
        <v>22</v>
      </c>
      <c r="H16" s="7" t="s">
        <v>57</v>
      </c>
      <c r="I16" s="5">
        <v>4</v>
      </c>
      <c r="J16" s="9">
        <v>439.41</v>
      </c>
      <c r="K16" s="5">
        <v>1757.64</v>
      </c>
      <c r="L16" s="9">
        <v>131</v>
      </c>
    </row>
    <row r="17" spans="1:12" x14ac:dyDescent="0.3">
      <c r="A17" s="1">
        <v>45667</v>
      </c>
      <c r="B17" t="s">
        <v>75</v>
      </c>
      <c r="C17" t="s">
        <v>13</v>
      </c>
      <c r="D17" t="s">
        <v>70</v>
      </c>
      <c r="E17" t="s">
        <v>74</v>
      </c>
      <c r="F17" t="s">
        <v>31</v>
      </c>
      <c r="G17" t="s">
        <v>32</v>
      </c>
      <c r="H17" s="7" t="s">
        <v>76</v>
      </c>
      <c r="I17" s="5">
        <v>5</v>
      </c>
      <c r="J17" s="9">
        <v>42.08</v>
      </c>
      <c r="K17" s="5">
        <v>210.4</v>
      </c>
      <c r="L17" s="9">
        <v>46.14</v>
      </c>
    </row>
    <row r="18" spans="1:12" x14ac:dyDescent="0.3">
      <c r="A18" s="1">
        <v>45668</v>
      </c>
      <c r="B18" t="s">
        <v>77</v>
      </c>
      <c r="C18" t="s">
        <v>13</v>
      </c>
      <c r="D18" t="s">
        <v>14</v>
      </c>
      <c r="E18" t="s">
        <v>25</v>
      </c>
      <c r="F18" t="s">
        <v>31</v>
      </c>
      <c r="G18" t="s">
        <v>38</v>
      </c>
      <c r="H18" s="7" t="s">
        <v>72</v>
      </c>
      <c r="I18" s="5">
        <v>1</v>
      </c>
      <c r="J18" s="9">
        <v>77.13</v>
      </c>
      <c r="K18" s="5">
        <v>77.13</v>
      </c>
      <c r="L18" s="9">
        <v>17.25</v>
      </c>
    </row>
    <row r="19" spans="1:12" x14ac:dyDescent="0.3">
      <c r="A19" s="1">
        <v>45669</v>
      </c>
      <c r="B19" t="s">
        <v>78</v>
      </c>
      <c r="C19" t="s">
        <v>35</v>
      </c>
      <c r="D19" t="s">
        <v>36</v>
      </c>
      <c r="E19" t="s">
        <v>47</v>
      </c>
      <c r="F19" t="s">
        <v>52</v>
      </c>
      <c r="G19" t="s">
        <v>53</v>
      </c>
      <c r="H19" s="7" t="s">
        <v>54</v>
      </c>
      <c r="I19" s="5">
        <v>5</v>
      </c>
      <c r="J19" s="9">
        <v>1772.67</v>
      </c>
      <c r="K19" s="5">
        <v>8863.35</v>
      </c>
      <c r="L19" s="9">
        <v>1627.17</v>
      </c>
    </row>
    <row r="20" spans="1:12" x14ac:dyDescent="0.3">
      <c r="A20" s="1">
        <v>45669</v>
      </c>
      <c r="B20" t="s">
        <v>79</v>
      </c>
      <c r="C20" t="s">
        <v>13</v>
      </c>
      <c r="D20" t="s">
        <v>20</v>
      </c>
      <c r="E20" t="s">
        <v>80</v>
      </c>
      <c r="F20" t="s">
        <v>31</v>
      </c>
      <c r="G20" t="s">
        <v>81</v>
      </c>
      <c r="H20" s="7" t="s">
        <v>82</v>
      </c>
      <c r="I20" s="5">
        <v>6</v>
      </c>
      <c r="J20" s="9">
        <v>78.05</v>
      </c>
      <c r="K20" s="5">
        <v>468.3</v>
      </c>
      <c r="L20" s="9">
        <v>60.81</v>
      </c>
    </row>
    <row r="21" spans="1:12" x14ac:dyDescent="0.3">
      <c r="A21" s="1">
        <v>45670</v>
      </c>
      <c r="B21" t="s">
        <v>83</v>
      </c>
      <c r="C21" t="s">
        <v>13</v>
      </c>
      <c r="D21" t="s">
        <v>70</v>
      </c>
      <c r="E21" t="s">
        <v>21</v>
      </c>
      <c r="F21" t="s">
        <v>16</v>
      </c>
      <c r="G21" t="s">
        <v>26</v>
      </c>
      <c r="H21" s="7" t="s">
        <v>84</v>
      </c>
      <c r="I21" s="5">
        <v>1</v>
      </c>
      <c r="J21" s="9">
        <v>170.76</v>
      </c>
      <c r="K21" s="5">
        <v>170.76</v>
      </c>
      <c r="L21" s="9">
        <v>13.01</v>
      </c>
    </row>
    <row r="22" spans="1:12" x14ac:dyDescent="0.3">
      <c r="A22" s="1">
        <v>45670</v>
      </c>
      <c r="B22" t="s">
        <v>85</v>
      </c>
      <c r="C22" t="s">
        <v>29</v>
      </c>
      <c r="D22" t="s">
        <v>62</v>
      </c>
      <c r="E22" t="s">
        <v>21</v>
      </c>
      <c r="F22" t="s">
        <v>16</v>
      </c>
      <c r="G22" t="s">
        <v>17</v>
      </c>
      <c r="H22" s="7" t="s">
        <v>18</v>
      </c>
      <c r="I22" s="5">
        <v>5</v>
      </c>
      <c r="J22" s="9">
        <v>619.98</v>
      </c>
      <c r="K22" s="5">
        <v>3099.9</v>
      </c>
      <c r="L22" s="9">
        <v>84.54</v>
      </c>
    </row>
    <row r="23" spans="1:12" x14ac:dyDescent="0.3">
      <c r="A23" s="1">
        <v>45670</v>
      </c>
      <c r="B23" t="s">
        <v>86</v>
      </c>
      <c r="C23" t="s">
        <v>29</v>
      </c>
      <c r="D23" t="s">
        <v>62</v>
      </c>
      <c r="E23" t="s">
        <v>87</v>
      </c>
      <c r="F23" t="s">
        <v>52</v>
      </c>
      <c r="G23" t="s">
        <v>88</v>
      </c>
      <c r="H23" s="7" t="s">
        <v>89</v>
      </c>
      <c r="I23" s="5">
        <v>4</v>
      </c>
      <c r="J23" s="9">
        <v>1197.94</v>
      </c>
      <c r="K23" s="5">
        <v>4791.76</v>
      </c>
      <c r="L23" s="9">
        <v>912.32</v>
      </c>
    </row>
    <row r="24" spans="1:12" x14ac:dyDescent="0.3">
      <c r="A24" s="1">
        <v>45671</v>
      </c>
      <c r="B24" t="s">
        <v>90</v>
      </c>
      <c r="C24" t="s">
        <v>35</v>
      </c>
      <c r="D24" t="s">
        <v>91</v>
      </c>
      <c r="E24" t="s">
        <v>25</v>
      </c>
      <c r="F24" t="s">
        <v>16</v>
      </c>
      <c r="G24" t="s">
        <v>17</v>
      </c>
      <c r="H24" s="7" t="s">
        <v>92</v>
      </c>
      <c r="I24" s="5">
        <v>7</v>
      </c>
      <c r="J24" s="9">
        <v>782.73</v>
      </c>
      <c r="K24" s="5">
        <v>5479.11</v>
      </c>
      <c r="L24" s="9">
        <v>920.53</v>
      </c>
    </row>
    <row r="25" spans="1:12" x14ac:dyDescent="0.3">
      <c r="A25" s="1">
        <v>45671</v>
      </c>
      <c r="B25" t="s">
        <v>93</v>
      </c>
      <c r="C25" t="s">
        <v>29</v>
      </c>
      <c r="D25" t="s">
        <v>46</v>
      </c>
      <c r="E25" t="s">
        <v>94</v>
      </c>
      <c r="F25" t="s">
        <v>16</v>
      </c>
      <c r="G25" t="s">
        <v>17</v>
      </c>
      <c r="H25" s="7" t="s">
        <v>92</v>
      </c>
      <c r="I25" s="5">
        <v>6</v>
      </c>
      <c r="J25" s="9">
        <v>600.83000000000004</v>
      </c>
      <c r="K25" s="5">
        <v>3604.98</v>
      </c>
      <c r="L25" s="9">
        <v>302.27</v>
      </c>
    </row>
    <row r="26" spans="1:12" x14ac:dyDescent="0.3">
      <c r="A26" s="1">
        <v>45671</v>
      </c>
      <c r="B26" t="s">
        <v>95</v>
      </c>
      <c r="C26" t="s">
        <v>41</v>
      </c>
      <c r="D26" t="s">
        <v>42</v>
      </c>
      <c r="E26" t="s">
        <v>15</v>
      </c>
      <c r="F26" t="s">
        <v>52</v>
      </c>
      <c r="G26" t="s">
        <v>53</v>
      </c>
      <c r="H26" s="7" t="s">
        <v>67</v>
      </c>
      <c r="I26" s="5">
        <v>5</v>
      </c>
      <c r="J26" s="9">
        <v>831.92</v>
      </c>
      <c r="K26" s="5">
        <v>4159.6000000000004</v>
      </c>
      <c r="L26" s="9">
        <v>289</v>
      </c>
    </row>
    <row r="27" spans="1:12" x14ac:dyDescent="0.3">
      <c r="A27" s="1">
        <v>45674</v>
      </c>
      <c r="B27" t="s">
        <v>96</v>
      </c>
      <c r="C27" t="s">
        <v>35</v>
      </c>
      <c r="D27" t="s">
        <v>36</v>
      </c>
      <c r="E27" t="s">
        <v>97</v>
      </c>
      <c r="F27" t="s">
        <v>52</v>
      </c>
      <c r="G27" t="s">
        <v>59</v>
      </c>
      <c r="H27" s="7" t="s">
        <v>60</v>
      </c>
      <c r="I27" s="5">
        <v>2</v>
      </c>
      <c r="J27" s="9">
        <v>1537.17</v>
      </c>
      <c r="K27" s="5">
        <v>3074.34</v>
      </c>
      <c r="L27" s="9">
        <v>347.49</v>
      </c>
    </row>
    <row r="28" spans="1:12" x14ac:dyDescent="0.3">
      <c r="A28" s="1">
        <v>45674</v>
      </c>
      <c r="B28" t="s">
        <v>98</v>
      </c>
      <c r="C28" t="s">
        <v>41</v>
      </c>
      <c r="D28" t="s">
        <v>42</v>
      </c>
      <c r="E28" t="s">
        <v>87</v>
      </c>
      <c r="F28" t="s">
        <v>52</v>
      </c>
      <c r="G28" t="s">
        <v>59</v>
      </c>
      <c r="H28" s="7" t="s">
        <v>60</v>
      </c>
      <c r="I28" s="5">
        <v>2</v>
      </c>
      <c r="J28" s="9">
        <v>365.13</v>
      </c>
      <c r="K28" s="5">
        <v>730.26</v>
      </c>
      <c r="L28" s="9">
        <v>174.63</v>
      </c>
    </row>
    <row r="29" spans="1:12" x14ac:dyDescent="0.3">
      <c r="A29" s="1">
        <v>45674</v>
      </c>
      <c r="B29" t="s">
        <v>99</v>
      </c>
      <c r="C29" t="s">
        <v>41</v>
      </c>
      <c r="D29" t="s">
        <v>42</v>
      </c>
      <c r="E29" t="s">
        <v>21</v>
      </c>
      <c r="F29" t="s">
        <v>16</v>
      </c>
      <c r="G29" t="s">
        <v>22</v>
      </c>
      <c r="H29" s="7" t="s">
        <v>57</v>
      </c>
      <c r="I29" s="5">
        <v>1</v>
      </c>
      <c r="J29" s="9">
        <v>674.58</v>
      </c>
      <c r="K29" s="5">
        <v>674.58</v>
      </c>
      <c r="L29" s="9">
        <v>59.12</v>
      </c>
    </row>
    <row r="30" spans="1:12" x14ac:dyDescent="0.3">
      <c r="A30" s="1">
        <v>45676</v>
      </c>
      <c r="B30" t="s">
        <v>100</v>
      </c>
      <c r="C30" t="s">
        <v>35</v>
      </c>
      <c r="D30" t="s">
        <v>101</v>
      </c>
      <c r="E30" t="s">
        <v>87</v>
      </c>
      <c r="F30" t="s">
        <v>52</v>
      </c>
      <c r="G30" t="s">
        <v>102</v>
      </c>
      <c r="H30" s="7" t="s">
        <v>103</v>
      </c>
      <c r="I30" s="5">
        <v>3</v>
      </c>
      <c r="J30" s="9">
        <v>690.03</v>
      </c>
      <c r="K30" s="5">
        <v>2070.09</v>
      </c>
      <c r="L30" s="9">
        <v>331.49</v>
      </c>
    </row>
    <row r="31" spans="1:12" x14ac:dyDescent="0.3">
      <c r="A31" s="1">
        <v>45677</v>
      </c>
      <c r="B31" t="s">
        <v>104</v>
      </c>
      <c r="C31" t="s">
        <v>13</v>
      </c>
      <c r="D31" t="s">
        <v>70</v>
      </c>
      <c r="E31" t="s">
        <v>74</v>
      </c>
      <c r="F31" t="s">
        <v>31</v>
      </c>
      <c r="G31" t="s">
        <v>48</v>
      </c>
      <c r="H31" s="7" t="s">
        <v>49</v>
      </c>
      <c r="I31" s="5">
        <v>3</v>
      </c>
      <c r="J31" s="9">
        <v>28.81</v>
      </c>
      <c r="K31" s="5">
        <v>86.43</v>
      </c>
      <c r="L31" s="9">
        <v>14.35</v>
      </c>
    </row>
    <row r="32" spans="1:12" x14ac:dyDescent="0.3">
      <c r="A32" s="1">
        <v>45679</v>
      </c>
      <c r="B32" t="s">
        <v>105</v>
      </c>
      <c r="C32" t="s">
        <v>41</v>
      </c>
      <c r="D32" t="s">
        <v>106</v>
      </c>
      <c r="E32" t="s">
        <v>94</v>
      </c>
      <c r="F32" t="s">
        <v>52</v>
      </c>
      <c r="G32" t="s">
        <v>59</v>
      </c>
      <c r="H32" s="7" t="s">
        <v>107</v>
      </c>
      <c r="I32" s="5">
        <v>7</v>
      </c>
      <c r="J32" s="9">
        <v>1746.47</v>
      </c>
      <c r="K32" s="5">
        <v>12225.29</v>
      </c>
      <c r="L32" s="9">
        <v>2444.21</v>
      </c>
    </row>
    <row r="33" spans="1:12" x14ac:dyDescent="0.3">
      <c r="A33" s="1">
        <v>45679</v>
      </c>
      <c r="B33" t="s">
        <v>108</v>
      </c>
      <c r="C33" t="s">
        <v>41</v>
      </c>
      <c r="D33" t="s">
        <v>109</v>
      </c>
      <c r="E33" t="s">
        <v>56</v>
      </c>
      <c r="F33" t="s">
        <v>31</v>
      </c>
      <c r="G33" t="s">
        <v>81</v>
      </c>
      <c r="H33" s="7" t="s">
        <v>110</v>
      </c>
      <c r="I33" s="5">
        <v>1</v>
      </c>
      <c r="J33" s="9">
        <v>252.88</v>
      </c>
      <c r="K33" s="5">
        <v>252.88</v>
      </c>
      <c r="L33" s="9">
        <v>43.72</v>
      </c>
    </row>
    <row r="34" spans="1:12" x14ac:dyDescent="0.3">
      <c r="A34" s="1">
        <v>45680</v>
      </c>
      <c r="B34" t="s">
        <v>111</v>
      </c>
      <c r="C34" t="s">
        <v>13</v>
      </c>
      <c r="D34" t="s">
        <v>112</v>
      </c>
      <c r="E34" t="s">
        <v>94</v>
      </c>
      <c r="F34" t="s">
        <v>52</v>
      </c>
      <c r="G34" t="s">
        <v>88</v>
      </c>
      <c r="H34" s="7" t="s">
        <v>113</v>
      </c>
      <c r="I34" s="5">
        <v>7</v>
      </c>
      <c r="J34" s="9">
        <v>193.54</v>
      </c>
      <c r="K34" s="5">
        <v>1354.78</v>
      </c>
      <c r="L34" s="9">
        <v>162.25</v>
      </c>
    </row>
    <row r="35" spans="1:12" x14ac:dyDescent="0.3">
      <c r="A35" s="1">
        <v>45682</v>
      </c>
      <c r="B35" t="s">
        <v>114</v>
      </c>
      <c r="C35" t="s">
        <v>35</v>
      </c>
      <c r="D35" t="s">
        <v>91</v>
      </c>
      <c r="E35" t="s">
        <v>56</v>
      </c>
      <c r="F35" t="s">
        <v>52</v>
      </c>
      <c r="G35" t="s">
        <v>88</v>
      </c>
      <c r="H35" s="7" t="s">
        <v>89</v>
      </c>
      <c r="I35" s="5">
        <v>7</v>
      </c>
      <c r="J35" s="9">
        <v>950.56</v>
      </c>
      <c r="K35" s="5">
        <v>6653.92</v>
      </c>
      <c r="L35" s="9">
        <v>917.59</v>
      </c>
    </row>
    <row r="36" spans="1:12" x14ac:dyDescent="0.3">
      <c r="A36" s="1">
        <v>45682</v>
      </c>
      <c r="B36" t="s">
        <v>115</v>
      </c>
      <c r="C36" t="s">
        <v>35</v>
      </c>
      <c r="D36" t="s">
        <v>116</v>
      </c>
      <c r="E36" t="s">
        <v>97</v>
      </c>
      <c r="F36" t="s">
        <v>52</v>
      </c>
      <c r="G36" t="s">
        <v>102</v>
      </c>
      <c r="H36" s="7" t="s">
        <v>117</v>
      </c>
      <c r="I36" s="5">
        <v>6</v>
      </c>
      <c r="J36" s="9">
        <v>363.16</v>
      </c>
      <c r="K36" s="5">
        <v>2178.96</v>
      </c>
      <c r="L36" s="9">
        <v>289.86</v>
      </c>
    </row>
    <row r="37" spans="1:12" x14ac:dyDescent="0.3">
      <c r="A37" s="1">
        <v>45682</v>
      </c>
      <c r="B37" t="s">
        <v>118</v>
      </c>
      <c r="C37" t="s">
        <v>41</v>
      </c>
      <c r="D37" t="s">
        <v>106</v>
      </c>
      <c r="E37" t="s">
        <v>97</v>
      </c>
      <c r="F37" t="s">
        <v>31</v>
      </c>
      <c r="G37" t="s">
        <v>81</v>
      </c>
      <c r="H37" s="7" t="s">
        <v>110</v>
      </c>
      <c r="I37" s="5">
        <v>5</v>
      </c>
      <c r="J37" s="9">
        <v>248.2</v>
      </c>
      <c r="K37" s="5">
        <v>1241</v>
      </c>
      <c r="L37" s="9">
        <v>271.36</v>
      </c>
    </row>
    <row r="38" spans="1:12" x14ac:dyDescent="0.3">
      <c r="A38" s="1">
        <v>45683</v>
      </c>
      <c r="B38" t="s">
        <v>119</v>
      </c>
      <c r="C38" t="s">
        <v>35</v>
      </c>
      <c r="D38" t="s">
        <v>116</v>
      </c>
      <c r="E38" t="s">
        <v>74</v>
      </c>
      <c r="F38" t="s">
        <v>31</v>
      </c>
      <c r="G38" t="s">
        <v>32</v>
      </c>
      <c r="H38" s="7" t="s">
        <v>76</v>
      </c>
      <c r="I38" s="5">
        <v>6</v>
      </c>
      <c r="J38" s="9">
        <v>216.18</v>
      </c>
      <c r="K38" s="5">
        <v>1297.08</v>
      </c>
      <c r="L38" s="9">
        <v>116.61</v>
      </c>
    </row>
    <row r="39" spans="1:12" x14ac:dyDescent="0.3">
      <c r="A39" s="1">
        <v>45683</v>
      </c>
      <c r="B39" t="s">
        <v>120</v>
      </c>
      <c r="C39" t="s">
        <v>13</v>
      </c>
      <c r="D39" t="s">
        <v>70</v>
      </c>
      <c r="E39" t="s">
        <v>66</v>
      </c>
      <c r="F39" t="s">
        <v>16</v>
      </c>
      <c r="G39" t="s">
        <v>17</v>
      </c>
      <c r="H39" s="7" t="s">
        <v>121</v>
      </c>
      <c r="I39" s="5">
        <v>5</v>
      </c>
      <c r="J39" s="9">
        <v>819.07</v>
      </c>
      <c r="K39" s="5">
        <v>4095.35</v>
      </c>
      <c r="L39" s="9">
        <v>446.65</v>
      </c>
    </row>
    <row r="40" spans="1:12" x14ac:dyDescent="0.3">
      <c r="A40" s="1">
        <v>45684</v>
      </c>
      <c r="B40" t="s">
        <v>122</v>
      </c>
      <c r="C40" t="s">
        <v>35</v>
      </c>
      <c r="D40" t="s">
        <v>91</v>
      </c>
      <c r="E40" t="s">
        <v>66</v>
      </c>
      <c r="F40" t="s">
        <v>16</v>
      </c>
      <c r="G40" t="s">
        <v>26</v>
      </c>
      <c r="H40" s="7" t="s">
        <v>123</v>
      </c>
      <c r="I40" s="5">
        <v>7</v>
      </c>
      <c r="J40" s="9">
        <v>350.52</v>
      </c>
      <c r="K40" s="5">
        <v>2453.64</v>
      </c>
      <c r="L40" s="9">
        <v>315.91000000000003</v>
      </c>
    </row>
    <row r="41" spans="1:12" x14ac:dyDescent="0.3">
      <c r="A41" s="1">
        <v>45685</v>
      </c>
      <c r="B41" t="s">
        <v>124</v>
      </c>
      <c r="C41" t="s">
        <v>35</v>
      </c>
      <c r="D41" t="s">
        <v>91</v>
      </c>
      <c r="E41" t="s">
        <v>80</v>
      </c>
      <c r="F41" t="s">
        <v>31</v>
      </c>
      <c r="G41" t="s">
        <v>48</v>
      </c>
      <c r="H41" s="7" t="s">
        <v>125</v>
      </c>
      <c r="I41" s="5">
        <v>2</v>
      </c>
      <c r="J41" s="9">
        <v>268.14</v>
      </c>
      <c r="K41" s="5">
        <v>536.28</v>
      </c>
      <c r="L41" s="9">
        <v>96.77</v>
      </c>
    </row>
    <row r="42" spans="1:12" x14ac:dyDescent="0.3">
      <c r="A42" s="1">
        <v>45686</v>
      </c>
      <c r="B42" t="s">
        <v>126</v>
      </c>
      <c r="C42" t="s">
        <v>13</v>
      </c>
      <c r="D42" t="s">
        <v>112</v>
      </c>
      <c r="E42" t="s">
        <v>80</v>
      </c>
      <c r="F42" t="s">
        <v>31</v>
      </c>
      <c r="G42" t="s">
        <v>81</v>
      </c>
      <c r="H42" s="7" t="s">
        <v>110</v>
      </c>
      <c r="I42" s="5">
        <v>4</v>
      </c>
      <c r="J42" s="9">
        <v>194.79</v>
      </c>
      <c r="K42" s="5">
        <v>779.16</v>
      </c>
      <c r="L42" s="9">
        <v>141.71</v>
      </c>
    </row>
    <row r="43" spans="1:12" x14ac:dyDescent="0.3">
      <c r="A43" s="1">
        <v>45686</v>
      </c>
      <c r="B43" t="s">
        <v>127</v>
      </c>
      <c r="C43" t="s">
        <v>35</v>
      </c>
      <c r="D43" t="s">
        <v>101</v>
      </c>
      <c r="E43" t="s">
        <v>94</v>
      </c>
      <c r="F43" t="s">
        <v>31</v>
      </c>
      <c r="G43" t="s">
        <v>38</v>
      </c>
      <c r="H43" s="7" t="s">
        <v>128</v>
      </c>
      <c r="I43" s="5">
        <v>5</v>
      </c>
      <c r="J43" s="9">
        <v>56.02</v>
      </c>
      <c r="K43" s="5">
        <v>280.10000000000002</v>
      </c>
      <c r="L43" s="9">
        <v>28.47</v>
      </c>
    </row>
    <row r="44" spans="1:12" x14ac:dyDescent="0.3">
      <c r="A44" s="1">
        <v>45688</v>
      </c>
      <c r="B44" t="s">
        <v>129</v>
      </c>
      <c r="C44" t="s">
        <v>35</v>
      </c>
      <c r="D44" t="s">
        <v>101</v>
      </c>
      <c r="E44" t="s">
        <v>94</v>
      </c>
      <c r="F44" t="s">
        <v>16</v>
      </c>
      <c r="G44" t="s">
        <v>22</v>
      </c>
      <c r="H44" s="7" t="s">
        <v>57</v>
      </c>
      <c r="I44" s="5">
        <v>5</v>
      </c>
      <c r="J44" s="9">
        <v>451.51</v>
      </c>
      <c r="K44" s="5">
        <v>2257.5500000000002</v>
      </c>
      <c r="L44" s="9">
        <v>154.82</v>
      </c>
    </row>
    <row r="45" spans="1:12" x14ac:dyDescent="0.3">
      <c r="A45" s="1">
        <v>45691</v>
      </c>
      <c r="B45" t="s">
        <v>130</v>
      </c>
      <c r="C45" t="s">
        <v>13</v>
      </c>
      <c r="D45" t="s">
        <v>70</v>
      </c>
      <c r="E45" t="s">
        <v>25</v>
      </c>
      <c r="F45" t="s">
        <v>16</v>
      </c>
      <c r="G45" t="s">
        <v>17</v>
      </c>
      <c r="H45" s="7" t="s">
        <v>92</v>
      </c>
      <c r="I45" s="5">
        <v>1</v>
      </c>
      <c r="J45" s="9">
        <v>414.53</v>
      </c>
      <c r="K45" s="5">
        <v>414.53</v>
      </c>
      <c r="L45" s="9">
        <v>57.24</v>
      </c>
    </row>
    <row r="46" spans="1:12" x14ac:dyDescent="0.3">
      <c r="A46" s="1">
        <v>45691</v>
      </c>
      <c r="B46" t="s">
        <v>131</v>
      </c>
      <c r="C46" t="s">
        <v>41</v>
      </c>
      <c r="D46" t="s">
        <v>65</v>
      </c>
      <c r="E46" t="s">
        <v>87</v>
      </c>
      <c r="F46" t="s">
        <v>52</v>
      </c>
      <c r="G46" t="s">
        <v>59</v>
      </c>
      <c r="H46" s="7" t="s">
        <v>132</v>
      </c>
      <c r="I46" s="5">
        <v>3</v>
      </c>
      <c r="J46" s="9">
        <v>493.05</v>
      </c>
      <c r="K46" s="5">
        <v>1479.15</v>
      </c>
      <c r="L46" s="9">
        <v>96.4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3FB3BF-9E78-41CF-B39D-1265D8A28791}">
  <dimension ref="A2:C33"/>
  <sheetViews>
    <sheetView tabSelected="1" topLeftCell="A13" workbookViewId="0">
      <selection activeCell="C33" sqref="C33"/>
    </sheetView>
  </sheetViews>
  <sheetFormatPr defaultRowHeight="14.4" x14ac:dyDescent="0.3"/>
  <cols>
    <col min="1" max="1" width="22.21875" customWidth="1"/>
    <col min="2" max="2" width="33.88671875" style="11" customWidth="1"/>
    <col min="3" max="3" width="23.77734375" style="11" customWidth="1"/>
  </cols>
  <sheetData>
    <row r="2" spans="1:3" ht="21" x14ac:dyDescent="0.4">
      <c r="B2" s="12" t="s">
        <v>133</v>
      </c>
    </row>
    <row r="4" spans="1:3" s="16" customFormat="1" x14ac:dyDescent="0.3">
      <c r="A4" s="17" t="s">
        <v>5</v>
      </c>
      <c r="B4" s="18" t="s">
        <v>134</v>
      </c>
      <c r="C4" s="18" t="s">
        <v>135</v>
      </c>
    </row>
    <row r="5" spans="1:3" x14ac:dyDescent="0.3">
      <c r="A5" s="13" t="s">
        <v>16</v>
      </c>
      <c r="B5" s="14">
        <f>SUMIF(Original_Data!F:F,Profit_Summary!A5,Original_Data!L:L)</f>
        <v>2918.7999999999997</v>
      </c>
      <c r="C5" s="14">
        <f>AVERAGEIF(Original_Data!F:F,Profit_Summary!A5,Original_Data!L:L)</f>
        <v>208.48571428571427</v>
      </c>
    </row>
    <row r="6" spans="1:3" x14ac:dyDescent="0.3">
      <c r="A6" s="13" t="s">
        <v>52</v>
      </c>
      <c r="B6" s="14">
        <f>SUMIF(Original_Data!F:F,Profit_Summary!A6,Original_Data!L:L)</f>
        <v>10254.24</v>
      </c>
      <c r="C6" s="14">
        <f>AVERAGEIF(Original_Data!F:F,Profit_Summary!A6,Original_Data!L:L)</f>
        <v>683.61599999999999</v>
      </c>
    </row>
    <row r="7" spans="1:3" x14ac:dyDescent="0.3">
      <c r="A7" s="13" t="s">
        <v>31</v>
      </c>
      <c r="B7" s="14">
        <f>SUMIF(Original_Data!F:F,Profit_Summary!A7,Original_Data!L:L)</f>
        <v>1106.21</v>
      </c>
      <c r="C7" s="14">
        <f>AVERAGEIF(Original_Data!F:F,Profit_Summary!A7,Original_Data!L:L)</f>
        <v>69.138125000000002</v>
      </c>
    </row>
    <row r="8" spans="1:3" s="15" customFormat="1" x14ac:dyDescent="0.3">
      <c r="A8" s="19" t="s">
        <v>136</v>
      </c>
      <c r="B8" s="20">
        <f>SUM(B5:B7)</f>
        <v>14279.25</v>
      </c>
      <c r="C8" s="20">
        <f>AVERAGE(C5:C7)</f>
        <v>320.41327976190473</v>
      </c>
    </row>
    <row r="27" spans="1:2" ht="23.4" x14ac:dyDescent="0.3">
      <c r="A27" s="24" t="s">
        <v>137</v>
      </c>
    </row>
    <row r="28" spans="1:2" x14ac:dyDescent="0.3">
      <c r="A28" s="21"/>
    </row>
    <row r="29" spans="1:2" ht="18" x14ac:dyDescent="0.35">
      <c r="A29" s="22" t="s">
        <v>138</v>
      </c>
      <c r="B29" s="23"/>
    </row>
    <row r="30" spans="1:2" ht="18" x14ac:dyDescent="0.35">
      <c r="A30" s="22" t="s">
        <v>139</v>
      </c>
      <c r="B30" s="23"/>
    </row>
    <row r="31" spans="1:2" ht="18" x14ac:dyDescent="0.35">
      <c r="A31" s="22" t="s">
        <v>140</v>
      </c>
      <c r="B31" s="23"/>
    </row>
    <row r="32" spans="1:2" ht="18" x14ac:dyDescent="0.35">
      <c r="A32" s="22" t="s">
        <v>141</v>
      </c>
      <c r="B32" s="23"/>
    </row>
    <row r="33" spans="1:2" ht="18" x14ac:dyDescent="0.35">
      <c r="A33" s="22" t="s">
        <v>142</v>
      </c>
      <c r="B33" s="23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Profit_Summary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2026-09-23T05:27:44Z</dcterms:created>
  <dcterms:modified xsi:type="dcterms:W3CDTF">2026-09-23T06:37:12Z</dcterms:modified>
</cp:coreProperties>
</file>